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45" documentId="8_{28ADCC0C-86CC-421C-9E62-F9D516DC5D99}" xr6:coauthVersionLast="47" xr6:coauthVersionMax="47" xr10:uidLastSave="{9650E5E2-3B03-4179-A0B4-57190CDF1654}"/>
  <bookViews>
    <workbookView xWindow="-108" yWindow="-108" windowWidth="23256" windowHeight="12456" tabRatio="591" firstSheet="1" activeTab="1" xr2:uid="{00000000-000D-0000-FFFF-FFFF00000000}"/>
  </bookViews>
  <sheets>
    <sheet name="CÓMO USAR ESTE LIBRO" sheetId="3" r:id="rId1"/>
    <sheet name="LIBRO DE CALIFICACIONES" sheetId="1" r:id="rId2"/>
  </sheets>
  <definedNames>
    <definedName name="_xlnm.Print_Area" localSheetId="1">'LIBRO DE CALIFICACIONES'!$A$1:$BD$16</definedName>
    <definedName name="GradeTable">'LIBRO DE CALIFICACIONES'!$H$3:$J$5</definedName>
    <definedName name="RowTitleRegion1..T5">'LIBRO DE CALIFICACIONES'!$G$3</definedName>
    <definedName name="RowTitleRegion2..W8">'LIBRO DE CALIFICACIONES'!#REF!</definedName>
    <definedName name="TitleRegion1..F20">'LIBRO DE CALIFICACIONES'!#REF!</definedName>
    <definedName name="Título1">Calificaciones[[#Headers],[Nombre del alumno]]</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1" i="1" l="1"/>
  <c r="AS11" i="1" s="1"/>
  <c r="AV17" i="1"/>
  <c r="AW17" i="1" s="1"/>
  <c r="AQ12" i="1"/>
  <c r="AS12" i="1" s="1"/>
  <c r="AQ13" i="1"/>
  <c r="AS13" i="1" s="1"/>
  <c r="AQ14" i="1"/>
  <c r="AS14" i="1" s="1"/>
  <c r="AQ15" i="1"/>
  <c r="AS15" i="1" s="1"/>
  <c r="AV16" i="1"/>
  <c r="AW16" i="1" s="1"/>
  <c r="AL15" i="1"/>
  <c r="AN15" i="1" s="1"/>
  <c r="AQ16" i="1"/>
  <c r="AS16" i="1" s="1"/>
  <c r="AL11" i="1"/>
  <c r="AN11" i="1" s="1"/>
  <c r="AL12" i="1"/>
  <c r="AN12" i="1" s="1"/>
  <c r="AL13" i="1"/>
  <c r="AN13" i="1" s="1"/>
  <c r="AL14" i="1"/>
  <c r="AN14" i="1" s="1"/>
  <c r="AL16" i="1"/>
  <c r="AN16" i="1" s="1"/>
  <c r="AL17" i="1"/>
  <c r="AN17" i="1" s="1"/>
  <c r="AL18" i="1"/>
  <c r="AN18" i="1" s="1"/>
  <c r="E16" i="1"/>
  <c r="E17" i="1"/>
  <c r="E18" i="1"/>
  <c r="E15" i="1"/>
  <c r="AV18" i="1"/>
  <c r="AW18" i="1" s="1"/>
  <c r="AQ18" i="1"/>
  <c r="AS18" i="1" s="1"/>
  <c r="AQ17" i="1"/>
  <c r="AS17" i="1" s="1"/>
  <c r="E14" i="1"/>
  <c r="AV14" i="1"/>
  <c r="AW14" i="1" s="1"/>
  <c r="E13" i="1"/>
  <c r="AV13" i="1"/>
  <c r="AW13" i="1" s="1"/>
  <c r="E12" i="1"/>
  <c r="AV12" i="1"/>
  <c r="AW12" i="1" s="1"/>
  <c r="E11" i="1"/>
  <c r="AV11" i="1"/>
  <c r="AW11" i="1" s="1"/>
  <c r="AV15" i="1"/>
  <c r="AW15" i="1" s="1"/>
  <c r="AX12" i="1" l="1"/>
  <c r="AY12" i="1" s="1"/>
  <c r="AZ12" i="1" s="1"/>
  <c r="BA12" i="1" s="1"/>
  <c r="AX11" i="1"/>
  <c r="AY11" i="1" s="1"/>
  <c r="AZ11" i="1" s="1"/>
  <c r="BA11" i="1" s="1"/>
  <c r="AX17" i="1"/>
  <c r="AY17" i="1" s="1"/>
  <c r="AZ17" i="1" s="1"/>
  <c r="BA17" i="1" s="1"/>
  <c r="AX13" i="1"/>
  <c r="AY13" i="1" s="1"/>
  <c r="AZ13" i="1" s="1"/>
  <c r="BA13" i="1" s="1"/>
  <c r="AX18" i="1"/>
  <c r="AY18" i="1" s="1"/>
  <c r="AZ18" i="1" s="1"/>
  <c r="BA18" i="1" s="1"/>
  <c r="AX15" i="1"/>
  <c r="AY15" i="1" s="1"/>
  <c r="AZ15" i="1" s="1"/>
  <c r="BA15" i="1" s="1"/>
  <c r="AX16" i="1"/>
  <c r="AY16" i="1" s="1"/>
  <c r="AZ16" i="1" s="1"/>
  <c r="BA16" i="1" s="1"/>
  <c r="AX14" i="1"/>
  <c r="AY14" i="1" s="1"/>
  <c r="AZ14" i="1" s="1"/>
  <c r="BA14" i="1" s="1"/>
</calcChain>
</file>

<file path=xl/sharedStrings.xml><?xml version="1.0" encoding="utf-8"?>
<sst xmlns="http://schemas.openxmlformats.org/spreadsheetml/2006/main" count="89" uniqueCount="89">
  <si>
    <t>INSTRUCCIONES</t>
  </si>
  <si>
    <r>
      <t>Use la hoja de cálculo LIBRO DE CALIFICACIONES para calcular las calificaciones donde a cada tarea le corresponde un número concreto de puntos.</t>
    </r>
    <r>
      <rPr>
        <sz val="10"/>
        <color rgb="FF000000"/>
        <rFont val="Segoe UI"/>
        <family val="2"/>
      </rPr>
      <t xml:space="preserve"> </t>
    </r>
  </si>
  <si>
    <r>
      <rPr>
        <b/>
        <sz val="11"/>
        <rFont val="Century Gothic"/>
        <family val="2"/>
        <scheme val="minor"/>
      </rPr>
      <t xml:space="preserve">Instrucciones: </t>
    </r>
    <r>
      <rPr>
        <sz val="11"/>
        <color theme="6" tint="-0.249977111117893"/>
        <rFont val="Century Gothic"/>
        <family val="2"/>
        <scheme val="minor"/>
      </rPr>
      <t>No olvide guardar copias de seguridad de sus calificaciones.</t>
    </r>
  </si>
  <si>
    <t xml:space="preserve">1. Rellene el nombre de la escuela, la información de la clase, los nombres de los alumnos y los identificadores de los estudiantes (opcional).   </t>
  </si>
  <si>
    <t>2. Ajuste la tabla de Calificación y Nota media para que coincida con el sistema de puntuación normal que usa.</t>
  </si>
  <si>
    <t xml:space="preserve">3. Rellene los nombres de las tareas o pruebas a partir de la celda G7, junto con el porcentaje que corresponde a cada una (como "Final" y "50%"). </t>
  </si>
  <si>
    <t>4. Rellene las puntuaciones para cada alumno en cada tarea o prueba. Las columnas de "Puntuación", "Nota alfabética" y "Nota media" se calculan automáticamente, pero se pueden reemplazar si lo desea. En la forma en que se calculan las calificaciones, la calificación media y final quedan incompletas hasta que se hayan añadido todos los resultados.</t>
  </si>
  <si>
    <t>Si desea cambiar el área que se imprime, use el comando "Área de impresión" en el menú "Diseño de página".</t>
  </si>
  <si>
    <t xml:space="preserve">La Puntuación, la Nota alfabética y la Nota media no son válidas hasta que el 100% de las pruebas y las tareas se hayan completado. </t>
  </si>
  <si>
    <t>Escriba cada tarea o prueba y el porcentaje que le corresponde de la calificación total en las celdas G7 a W8.</t>
  </si>
  <si>
    <t>Centro Universitario Hidalguense</t>
  </si>
  <si>
    <t>"La sabiduría es nuestra fuerza"</t>
  </si>
  <si>
    <t>*La calificación de tercer parcial (global) se conforma por 50% evaluación continua (práctica) y 50% exámen global</t>
  </si>
  <si>
    <t>👨🏽‍🏫 Docente: I.S.C. Erick Renato Vega Cerón</t>
  </si>
  <si>
    <t>Actividades Evaluación Continua</t>
  </si>
  <si>
    <t>Primer Parcial</t>
  </si>
  <si>
    <t>|Tareas, Ejercicios Totales Primer Parcial:</t>
  </si>
  <si>
    <t>*La calificación Final se redondea al número inmediato dependiendo de sus decimales. Las calificaciones reprobatorias solo se pueden redondear hacia abajo</t>
  </si>
  <si>
    <t>Segundo Parcial</t>
  </si>
  <si>
    <t>|Tareas, Ejercicios Totales Segundo Parcial:</t>
  </si>
  <si>
    <t>Nombre del alumno</t>
  </si>
  <si>
    <t>Id. del alumno</t>
  </si>
  <si>
    <t>Correo Alumno</t>
  </si>
  <si>
    <t>Columna1</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</si>
  <si>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</si>
  <si>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</si>
  <si>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</si>
  <si>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</si>
  <si>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</si>
  <si>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</si>
  <si>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</si>
  <si>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</si>
  <si>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</si>
  <si>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</si>
  <si>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</si>
  <si>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</si>
  <si>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</si>
  <si>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</si>
  <si>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</si>
  <si>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</si>
  <si>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</si>
  <si>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</si>
  <si>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</si>
  <si>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</si>
  <si>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</si>
  <si>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</si>
  <si>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</si>
  <si>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</si>
  <si>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Columna26</t>
  </si>
  <si>
    <t>Columna27</t>
  </si>
  <si>
    <t>Columna28</t>
  </si>
  <si>
    <t>Columna29</t>
  </si>
  <si>
    <t>Columna30</t>
  </si>
  <si>
    <t>Tareas  y Ejercicios 1er Parcial (60%)</t>
  </si>
  <si>
    <t>Practica 1er Parcial (40%)</t>
  </si>
  <si>
    <t>Evaluación Continua 1er Parcial</t>
  </si>
  <si>
    <t>Exámen 1er Parcial</t>
  </si>
  <si>
    <t>Calificación Primer Parcial</t>
  </si>
  <si>
    <t>Tareas  y Ejercicios 2do Parcial</t>
  </si>
  <si>
    <t>Practica 2do Parcial</t>
  </si>
  <si>
    <t>Evaluación Continua 2do Parcial</t>
  </si>
  <si>
    <t>Exámen 2do Parcial</t>
  </si>
  <si>
    <t>Calificación Segundo Parcial</t>
  </si>
  <si>
    <t>Exámen Global</t>
  </si>
  <si>
    <t>Evaluación Continua 3er Parcial (Proyecto)</t>
  </si>
  <si>
    <t>Calificación Tercer Parcial</t>
  </si>
  <si>
    <t xml:space="preserve">Calificación Tercer Parcial </t>
  </si>
  <si>
    <t>Porcentaje 1er y Segundo Parcial</t>
  </si>
  <si>
    <t xml:space="preserve">Porcentaje 1er y Segundo Parcial </t>
  </si>
  <si>
    <t>Calificación Final</t>
  </si>
  <si>
    <t>Calificación Final (Base 10)</t>
  </si>
  <si>
    <t>Desarrollo de Sistemas Visuales</t>
  </si>
  <si>
    <t>AGUILAR ARRAZOLA YAZMIN</t>
  </si>
  <si>
    <t>CASTILLO MANRIQUE CESAR GENARO</t>
  </si>
  <si>
    <t>CRUZ FLORES KEVIN ALDO</t>
  </si>
  <si>
    <t>FRANCO CHAVEZ ALDO</t>
  </si>
  <si>
    <t>GOMEZ HERRERA ALONDRA</t>
  </si>
  <si>
    <t>HERNANDEZ ZUÑIGA LEONARDO</t>
  </si>
  <si>
    <t>ROMERO HERNANDEZ ANDREI HUGO SALOMON</t>
  </si>
  <si>
    <t>RUBIALES ROJAS TADEO ALEJANDRO</t>
  </si>
  <si>
    <t>CUH512410327</t>
  </si>
  <si>
    <t>CUH512410168</t>
  </si>
  <si>
    <t>CUH512410177</t>
  </si>
  <si>
    <t>CUH512410339</t>
  </si>
  <si>
    <t>CUH512410256</t>
  </si>
  <si>
    <t>CUH512410166</t>
  </si>
  <si>
    <t>CUH512410276</t>
  </si>
  <si>
    <t>CUH512410278</t>
  </si>
  <si>
    <t>Enero-Febrero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</si>
</sst>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F800]dddd\,\ mmmm\ dd\,\ yyyy"/>
    <numFmt numFmtId="169" formatCode="0.0"/>
  </numFmts>
  <fonts count="19" x14ac:knownFonts="1">
    <font>
      <sz val="11"/>
      <name val="Century Gothic"/>
      <family val="2"/>
      <scheme val="minor"/>
    </font>
    <font>
      <sz val="11"/>
      <color theme="1"/>
      <name val="Century Gothic"/>
      <family val="2"/>
      <scheme val="minor"/>
    </font>
    <font>
      <sz val="11"/>
      <color theme="1"/>
      <name val="Century Gothic"/>
      <family val="2"/>
      <scheme val="minor"/>
    </font>
    <font>
      <sz val="20"/>
      <color theme="4" tint="-0.499984740745262"/>
      <name val="Corbel"/>
      <family val="2"/>
      <scheme val="major"/>
    </font>
    <font>
      <sz val="14"/>
      <color theme="3"/>
      <name val="Corbel"/>
      <family val="2"/>
      <scheme val="major"/>
    </font>
    <font>
      <b/>
      <sz val="11"/>
      <color theme="3"/>
      <name val="Century Gothic"/>
      <family val="2"/>
      <scheme val="minor"/>
    </font>
    <font>
      <sz val="11"/>
      <name val="Century Gothic"/>
      <family val="2"/>
      <scheme val="minor"/>
    </font>
    <font>
      <i/>
      <sz val="11"/>
      <color theme="1" tint="0.34998626667073579"/>
      <name val="Century Gothic"/>
      <family val="2"/>
      <scheme val="minor"/>
    </font>
    <font>
      <b/>
      <sz val="11"/>
      <name val="Century Gothic"/>
      <family val="2"/>
      <scheme val="minor"/>
    </font>
    <font>
      <sz val="10"/>
      <color rgb="FF000000"/>
      <name val="Segoe UI"/>
      <family val="2"/>
    </font>
    <font>
      <sz val="11"/>
      <color theme="6" tint="-0.249977111117893"/>
      <name val="Century Gothic"/>
      <family val="2"/>
      <scheme val="minor"/>
    </font>
    <font>
      <b/>
      <u val="double"/>
      <sz val="20"/>
      <name val="Century Gothic"/>
      <family val="2"/>
      <scheme val="minor"/>
    </font>
    <font>
      <sz val="14"/>
      <color theme="0"/>
      <name val="Century Gothic"/>
      <family val="2"/>
      <scheme val="minor"/>
    </font>
    <font>
      <sz val="16"/>
      <color theme="3"/>
      <name val="Corbel"/>
      <family val="2"/>
      <scheme val="major"/>
    </font>
    <font>
      <sz val="11"/>
      <color theme="0"/>
      <name val="Century Gothic"/>
      <family val="2"/>
      <scheme val="minor"/>
    </font>
    <font>
      <b/>
      <u/>
      <sz val="11"/>
      <color theme="0"/>
      <name val="Century Gothic"/>
      <family val="2"/>
      <scheme val="minor"/>
    </font>
    <font>
      <b/>
      <sz val="11"/>
      <color theme="0"/>
      <name val="Century Gothic"/>
      <family val="2"/>
      <scheme val="minor"/>
    </font>
    <font>
      <u/>
      <sz val="11"/>
      <name val="Century Gothic"/>
      <family val="2"/>
      <scheme val="minor"/>
    </font>
    <font>
      <b/>
      <u/>
      <sz val="11"/>
      <name val="Century Gothic"/>
      <family val="2"/>
      <scheme val="minor"/>
    </font>
  </fonts>
  <fills count="14">
    <fill>
      <patternFill patternType="none"/>
    </fill>
    <fill>
      <patternFill patternType="gray125"/>
    </fill>
    <fill>
      <patternFill patternType="solid">
        <fgColor rgb="FFFFFFCC"/>
      </patternFill>
    </fill>
    <fill>
      <patternFill patternType="solid">
        <fgColor theme="5"/>
      </patternFill>
    </fill>
    <fill>
      <patternFill patternType="lightTrellis">
        <bgColor theme="1"/>
      </patternFill>
    </fill>
    <fill>
      <patternFill patternType="solid">
        <fgColor theme="4" tint="0.39994506668294322"/>
        <bgColor indexed="64"/>
      </patternFill>
    </fill>
    <fill>
      <patternFill patternType="solid">
        <fgColor theme="5"/>
        <bgColor indexed="64"/>
      </patternFill>
    </fill>
    <fill>
      <patternFill patternType="solid">
        <fgColor rgb="FFFFFF00"/>
        <bgColor indexed="64"/>
      </patternFill>
    </fill>
    <fill>
      <patternFill patternType="solid">
        <fgColor theme="6" tint="0.79998168889431442"/>
        <bgColor indexed="64"/>
      </patternFill>
    </fill>
    <fill>
      <patternFill patternType="solid">
        <fgColor theme="6"/>
        <bgColor indexed="64"/>
      </patternFill>
    </fill>
    <fill>
      <patternFill patternType="solid">
        <fgColor theme="9"/>
        <bgColor indexed="64"/>
      </patternFill>
    </fill>
    <fill>
      <patternFill patternType="solid">
        <fgColor theme="4"/>
      </patternFill>
    </fill>
    <fill>
      <patternFill patternType="solid">
        <fgColor rgb="FFE1F4FF"/>
        <bgColor indexed="64"/>
      </patternFill>
    </fill>
    <fill>
      <patternFill patternType="solid">
        <fgColor theme="0"/>
        <bgColor indexed="64"/>
      </patternFill>
    </fill>
  </fills>
  <borders count="16">
    <border>
      <left/>
      <right/>
      <top/>
      <bottom/>
      <diagonal/>
    </border>
    <border>
      <left/>
      <right/>
      <top/>
      <bottom style="thin">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bottom/>
      <diagonal/>
    </border>
  </borders>
  <cellStyleXfs count="15">
    <xf numFmtId="0" fontId="0" fillId="0" borderId="0">
      <alignment wrapText="1"/>
    </xf>
    <xf numFmtId="0" fontId="3" fillId="0" borderId="1" applyNumberFormat="0" applyFill="0" applyProtection="0">
      <alignment horizontal="left"/>
    </xf>
    <xf numFmtId="0" fontId="4" fillId="0" borderId="0" applyNumberFormat="0" applyFill="0" applyProtection="0">
      <alignment horizontal="left"/>
    </xf>
    <xf numFmtId="167" fontId="6" fillId="0" borderId="0" applyFill="0" applyBorder="0" applyAlignment="0" applyProtection="0"/>
    <xf numFmtId="165" fontId="6" fillId="0" borderId="0" applyFill="0" applyBorder="0" applyAlignment="0" applyProtection="0"/>
    <xf numFmtId="166" fontId="6" fillId="0" borderId="0" applyFill="0" applyBorder="0" applyAlignment="0" applyProtection="0"/>
    <xf numFmtId="164" fontId="6" fillId="0" borderId="0" applyFill="0" applyBorder="0" applyAlignment="0" applyProtection="0"/>
    <xf numFmtId="9" fontId="6" fillId="0" borderId="0" applyFill="0" applyBorder="0" applyAlignment="0" applyProtection="0"/>
    <xf numFmtId="0" fontId="5" fillId="0" borderId="3" applyNumberFormat="0" applyFill="0" applyAlignment="0" applyProtection="0"/>
    <xf numFmtId="0" fontId="6" fillId="2" borderId="2" applyNumberFormat="0" applyAlignment="0" applyProtection="0"/>
    <xf numFmtId="0" fontId="7" fillId="0" borderId="0" applyNumberFormat="0" applyFill="0" applyBorder="0" applyAlignment="0" applyProtection="0"/>
    <xf numFmtId="0" fontId="5" fillId="0" borderId="0" applyNumberFormat="0" applyFill="0" applyBorder="0" applyAlignment="0" applyProtection="0"/>
    <xf numFmtId="0" fontId="2" fillId="3" borderId="0" applyNumberFormat="0" applyBorder="0" applyAlignment="0" applyProtection="0"/>
    <xf numFmtId="0" fontId="11" fillId="0" borderId="1">
      <alignment horizontal="center" vertical="distributed"/>
    </xf>
    <xf numFmtId="0" fontId="14" fillId="11" borderId="0" applyNumberFormat="0" applyBorder="0" applyAlignment="0" applyProtection="0"/>
  </cellStyleXfs>
  <cellXfs count="65">
    <xf numFmtId="0" fontId="0" fillId="0" borderId="0" xfId="0">
      <alignment wrapText="1"/>
    </xf>
    <xf numFmtId="0" fontId="0" fillId="0" borderId="0" xfId="0" applyAlignment="1">
      <alignment vertical="center" wrapText="1"/>
    </xf>
    <xf numFmtId="0" fontId="5" fillId="0" borderId="0" xfId="11" applyAlignment="1">
      <alignment horizontal="center" vertical="center" wrapText="1"/>
    </xf>
    <xf numFmtId="0" fontId="0" fillId="0" borderId="0" xfId="0" applyAlignment="1">
      <alignment horizontal="center" vertical="center" wrapText="1"/>
    </xf>
    <xf numFmtId="49" fontId="0" fillId="0" borderId="0" xfId="0" applyNumberFormat="1">
      <alignment wrapText="1"/>
    </xf>
    <xf numFmtId="49" fontId="0" fillId="0" borderId="0" xfId="0" applyNumberFormat="1" applyAlignment="1">
      <alignment horizontal="center" vertical="center" wrapText="1"/>
    </xf>
    <xf numFmtId="168" fontId="0" fillId="5" borderId="4" xfId="0" applyNumberFormat="1" applyFill="1" applyBorder="1" applyAlignment="1">
      <alignment horizontal="center" vertical="center" textRotation="90" wrapText="1"/>
    </xf>
    <xf numFmtId="49" fontId="0" fillId="9" borderId="4" xfId="0" applyNumberFormat="1" applyFill="1" applyBorder="1" applyAlignment="1">
      <alignment horizontal="center" vertical="center" textRotation="90" wrapText="1"/>
    </xf>
    <xf numFmtId="49" fontId="0" fillId="10" borderId="4" xfId="0" applyNumberFormat="1" applyFill="1" applyBorder="1" applyAlignment="1">
      <alignment horizontal="center" vertical="center" textRotation="90" wrapText="1"/>
    </xf>
    <xf numFmtId="49" fontId="0" fillId="0" borderId="4" xfId="0" applyNumberFormat="1" applyBorder="1" applyAlignment="1">
      <alignment horizontal="center" vertical="center" textRotation="90" wrapText="1"/>
    </xf>
    <xf numFmtId="0" fontId="8" fillId="7" borderId="4" xfId="0" applyFont="1" applyFill="1" applyBorder="1">
      <alignment wrapText="1"/>
    </xf>
    <xf numFmtId="0" fontId="8" fillId="0" borderId="0" xfId="0" applyFont="1">
      <alignment wrapText="1"/>
    </xf>
    <xf numFmtId="49" fontId="8" fillId="0" borderId="4" xfId="0" applyNumberFormat="1" applyFont="1" applyBorder="1" applyAlignment="1">
      <alignment horizontal="center" vertical="center" textRotation="90" wrapText="1"/>
    </xf>
    <xf numFmtId="0" fontId="13" fillId="0" borderId="4" xfId="2" applyFont="1" applyBorder="1" applyAlignment="1">
      <alignment horizontal="left" vertical="center"/>
    </xf>
    <xf numFmtId="169" fontId="8" fillId="0" borderId="4" xfId="0" applyNumberFormat="1" applyFont="1" applyBorder="1">
      <alignment wrapText="1"/>
    </xf>
    <xf numFmtId="0" fontId="4" fillId="0" borderId="4" xfId="2" applyBorder="1" applyAlignment="1"/>
    <xf numFmtId="0" fontId="0" fillId="0" borderId="4" xfId="0" applyBorder="1" applyAlignment="1">
      <alignment horizontal="center" vertical="center" wrapText="1"/>
    </xf>
    <xf numFmtId="0" fontId="0" fillId="0" borderId="4" xfId="0" applyBorder="1">
      <alignment wrapText="1"/>
    </xf>
    <xf numFmtId="0" fontId="0" fillId="12" borderId="4" xfId="0" applyFill="1" applyBorder="1">
      <alignment wrapText="1"/>
    </xf>
    <xf numFmtId="168" fontId="0" fillId="5" borderId="5" xfId="0" applyNumberFormat="1" applyFill="1" applyBorder="1" applyAlignment="1">
      <alignment horizontal="center" vertical="center" textRotation="90" wrapText="1"/>
    </xf>
    <xf numFmtId="0" fontId="8" fillId="7" borderId="0" xfId="0" applyFont="1" applyFill="1">
      <alignment wrapText="1"/>
    </xf>
    <xf numFmtId="49" fontId="16" fillId="11" borderId="4" xfId="14" applyNumberFormat="1" applyFont="1" applyBorder="1" applyAlignment="1">
      <alignment horizontal="center" vertical="center" textRotation="90" wrapText="1"/>
    </xf>
    <xf numFmtId="2" fontId="0" fillId="0" borderId="0" xfId="0" applyNumberFormat="1">
      <alignment wrapText="1"/>
    </xf>
    <xf numFmtId="2" fontId="8" fillId="0" borderId="0" xfId="0" applyNumberFormat="1" applyFont="1">
      <alignment wrapText="1"/>
    </xf>
    <xf numFmtId="2" fontId="15" fillId="11" borderId="4" xfId="14" applyNumberFormat="1" applyFont="1" applyBorder="1" applyAlignment="1">
      <alignment horizontal="center" vertical="center" textRotation="90" wrapText="1"/>
    </xf>
    <xf numFmtId="2" fontId="8" fillId="0" borderId="4" xfId="0" applyNumberFormat="1" applyFont="1" applyBorder="1">
      <alignment wrapText="1"/>
    </xf>
    <xf numFmtId="2" fontId="8" fillId="10" borderId="4" xfId="0" applyNumberFormat="1" applyFont="1" applyFill="1" applyBorder="1" applyAlignment="1">
      <alignment horizontal="center" vertical="center" textRotation="90" wrapText="1"/>
    </xf>
    <xf numFmtId="2" fontId="8" fillId="8" borderId="4" xfId="0" applyNumberFormat="1" applyFont="1" applyFill="1" applyBorder="1" applyAlignment="1">
      <alignment horizontal="center" vertical="center" wrapText="1"/>
    </xf>
    <xf numFmtId="2" fontId="8" fillId="9" borderId="4" xfId="0" applyNumberFormat="1" applyFont="1" applyFill="1" applyBorder="1" applyAlignment="1">
      <alignment horizontal="center" vertical="center" textRotation="90" wrapText="1"/>
    </xf>
    <xf numFmtId="2" fontId="8" fillId="0" borderId="4" xfId="0" applyNumberFormat="1" applyFont="1" applyBorder="1" applyAlignment="1">
      <alignment horizontal="center" vertical="center" textRotation="90" wrapText="1"/>
    </xf>
    <xf numFmtId="168" fontId="0" fillId="5" borderId="0" xfId="0" applyNumberFormat="1" applyFill="1" applyAlignment="1">
      <alignment horizontal="center" vertical="center" textRotation="90" wrapText="1"/>
    </xf>
    <xf numFmtId="0" fontId="0" fillId="12" borderId="5" xfId="0" applyFill="1" applyBorder="1">
      <alignment wrapText="1"/>
    </xf>
    <xf numFmtId="0" fontId="0" fillId="5" borderId="5" xfId="0" applyFill="1" applyBorder="1">
      <alignment wrapText="1"/>
    </xf>
    <xf numFmtId="0" fontId="0" fillId="5" borderId="5" xfId="0" applyFill="1" applyBorder="1" applyAlignment="1">
      <alignment horizontal="center" vertical="center" wrapText="1"/>
    </xf>
    <xf numFmtId="169" fontId="0" fillId="13" borderId="5" xfId="0" applyNumberFormat="1" applyFill="1" applyBorder="1" applyAlignment="1">
      <alignment horizontal="center" vertical="center" wrapText="1"/>
    </xf>
    <xf numFmtId="2" fontId="8" fillId="8" borderId="5" xfId="0" applyNumberFormat="1" applyFont="1" applyFill="1" applyBorder="1" applyAlignment="1">
      <alignment horizontal="center" vertical="center" wrapText="1"/>
    </xf>
    <xf numFmtId="0" fontId="0" fillId="13" borderId="5" xfId="0" applyFill="1" applyBorder="1" applyAlignment="1">
      <alignment horizontal="center" vertical="center" wrapText="1"/>
    </xf>
    <xf numFmtId="0" fontId="0" fillId="13" borderId="6" xfId="0" applyFill="1" applyBorder="1" applyAlignment="1">
      <alignment horizontal="center" vertical="center" wrapText="1"/>
    </xf>
    <xf numFmtId="2" fontId="0" fillId="13" borderId="7" xfId="0" applyNumberFormat="1" applyFill="1" applyBorder="1" applyAlignment="1">
      <alignment horizontal="center" vertical="center" wrapText="1"/>
    </xf>
    <xf numFmtId="2" fontId="8" fillId="0" borderId="8" xfId="0" applyNumberFormat="1" applyFont="1" applyBorder="1" applyAlignment="1">
      <alignment horizontal="center" vertical="center" wrapText="1"/>
    </xf>
    <xf numFmtId="0" fontId="8" fillId="13" borderId="8" xfId="0" applyFont="1" applyFill="1" applyBorder="1" applyAlignment="1">
      <alignment horizontal="center" vertical="center" wrapText="1"/>
    </xf>
    <xf numFmtId="169" fontId="8" fillId="13" borderId="6" xfId="0" applyNumberFormat="1" applyFont="1" applyFill="1" applyBorder="1" applyAlignment="1">
      <alignment horizontal="center" vertical="center" wrapText="1"/>
    </xf>
    <xf numFmtId="2" fontId="0" fillId="9" borderId="4" xfId="0" applyNumberFormat="1" applyFill="1" applyBorder="1" applyAlignment="1">
      <alignment horizontal="center" vertical="center" textRotation="90" wrapText="1"/>
    </xf>
    <xf numFmtId="2" fontId="0" fillId="13" borderId="5" xfId="0" applyNumberFormat="1" applyFill="1" applyBorder="1" applyAlignment="1">
      <alignment horizontal="center" vertical="center" wrapText="1"/>
    </xf>
    <xf numFmtId="0" fontId="13" fillId="0" borderId="10" xfId="2" applyFont="1" applyBorder="1" applyAlignment="1"/>
    <xf numFmtId="0" fontId="4" fillId="0" borderId="10" xfId="2" applyBorder="1">
      <alignment horizontal="left"/>
    </xf>
    <xf numFmtId="0" fontId="0" fillId="0" borderId="10" xfId="0" applyBorder="1" applyAlignment="1">
      <alignment horizontal="center" vertical="center" wrapText="1"/>
    </xf>
    <xf numFmtId="0" fontId="8" fillId="7" borderId="10" xfId="0" applyFont="1" applyFill="1" applyBorder="1">
      <alignment wrapText="1"/>
    </xf>
    <xf numFmtId="2" fontId="1" fillId="13" borderId="14" xfId="0" applyNumberFormat="1" applyFont="1" applyFill="1" applyBorder="1" applyAlignment="1">
      <alignment horizontal="center" vertical="center" wrapText="1"/>
    </xf>
    <xf numFmtId="2" fontId="0" fillId="13" borderId="15" xfId="0" applyNumberFormat="1" applyFill="1" applyBorder="1" applyAlignment="1">
      <alignment horizontal="center" vertical="center" wrapText="1"/>
    </xf>
    <xf numFmtId="0" fontId="17" fillId="13" borderId="5" xfId="0" applyFont="1" applyFill="1" applyBorder="1" applyAlignment="1">
      <alignment horizontal="center" vertical="center" wrapText="1"/>
    </xf>
    <xf numFmtId="2" fontId="0" fillId="10" borderId="4" xfId="0" applyNumberFormat="1" applyFill="1" applyBorder="1" applyAlignment="1">
      <alignment horizontal="center" vertical="center" textRotation="90" wrapText="1"/>
    </xf>
    <xf numFmtId="2" fontId="0" fillId="13" borderId="4" xfId="0" applyNumberFormat="1" applyFill="1" applyBorder="1" applyAlignment="1">
      <alignment horizontal="center" vertical="center" wrapText="1"/>
    </xf>
    <xf numFmtId="0" fontId="8" fillId="0" borderId="0" xfId="0" applyFont="1" applyAlignment="1">
      <alignment horizontal="center" wrapText="1"/>
    </xf>
    <xf numFmtId="0" fontId="8" fillId="0" borderId="0" xfId="0" applyFont="1" applyAlignment="1">
      <alignment horizontal="center" vertical="center" wrapText="1"/>
    </xf>
    <xf numFmtId="0" fontId="12" fillId="4" borderId="0" xfId="12" applyFont="1" applyFill="1" applyBorder="1" applyAlignment="1">
      <alignment horizontal="center" vertical="center"/>
    </xf>
    <xf numFmtId="0" fontId="14" fillId="6" borderId="0" xfId="0" applyFont="1" applyFill="1" applyAlignment="1">
      <alignment horizontal="center" wrapText="1"/>
    </xf>
    <xf numFmtId="0" fontId="0" fillId="0" borderId="0" xfId="0" applyAlignment="1">
      <alignment horizontal="center" vertical="center" wrapText="1"/>
    </xf>
    <xf numFmtId="0" fontId="4" fillId="0" borderId="4" xfId="2" applyBorder="1">
      <alignment horizontal="left"/>
    </xf>
    <xf numFmtId="0" fontId="4" fillId="0" borderId="9" xfId="2" applyBorder="1">
      <alignment horizontal="left"/>
    </xf>
    <xf numFmtId="0" fontId="13" fillId="0" borderId="4" xfId="2" applyFont="1" applyBorder="1" applyAlignment="1">
      <alignment horizontal="left" vertical="center"/>
    </xf>
    <xf numFmtId="0" fontId="4" fillId="0" borderId="11" xfId="2" applyBorder="1" applyAlignment="1">
      <alignment horizontal="center"/>
    </xf>
    <xf numFmtId="0" fontId="4" fillId="0" borderId="12" xfId="2" applyBorder="1" applyAlignment="1">
      <alignment horizontal="center"/>
    </xf>
    <xf numFmtId="0" fontId="4" fillId="0" borderId="13" xfId="2" applyBorder="1" applyAlignment="1">
      <alignment horizontal="center"/>
    </xf>
    <xf numFmtId="2" fontId="18" fillId="0" borderId="0" xfId="0" applyNumberFormat="1" applyFont="1" applyAlignment="1">
      <alignment horizontal="center" wrapText="1"/>
    </xf>
  </cellXfs>
  <cellStyles count="15">
    <cellStyle name="Encabezado 1" xfId="1" builtinId="16" customBuiltin="1"/>
    <cellStyle name="Encabezado 4" xfId="11" builtinId="19"/>
    <cellStyle name="Énfasis1" xfId="14" builtinId="29"/>
    <cellStyle name="Énfasis2" xfId="12" builtinId="33" customBuiltin="1"/>
    <cellStyle name="Millares" xfId="3" builtinId="3" customBuiltin="1"/>
    <cellStyle name="Millares [0]" xfId="4" builtinId="6" customBuiltin="1"/>
    <cellStyle name="Moneda" xfId="5" builtinId="4" customBuiltin="1"/>
    <cellStyle name="Moneda [0]" xfId="6" builtinId="7" customBuiltin="1"/>
    <cellStyle name="Normal" xfId="0" builtinId="0" customBuiltin="1"/>
    <cellStyle name="Notas" xfId="9" builtinId="10" customBuiltin="1"/>
    <cellStyle name="Oscuro" xfId="13" xr:uid="{00000000-0005-0000-0000-00000D000000}"/>
    <cellStyle name="Porcentaje" xfId="7" builtinId="5" customBuiltin="1"/>
    <cellStyle name="Texto explicativo" xfId="10" builtinId="53" customBuiltin="1"/>
    <cellStyle name="Título 2" xfId="2" builtinId="17" customBuiltin="1"/>
    <cellStyle name="Título 3" xfId="8" builtinId="18" customBuiltin="1"/>
  </cellStyles>
  <dxfs count="61">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strike val="0"/>
        <outline val="0"/>
        <shadow val="0"/>
        <u val="none"/>
        <vertAlign val="baseline"/>
        <sz val="11"/>
        <color theme="1"/>
        <name val="Century Gothic"/>
        <scheme val="minor"/>
      </font>
    </dxf>
    <dxf>
      <font>
        <b/>
        <i val="0"/>
        <strike val="0"/>
        <condense val="0"/>
        <extend val="0"/>
        <outline val="0"/>
        <shadow val="0"/>
        <u val="none"/>
        <vertAlign val="baseline"/>
        <sz val="11"/>
        <color auto="1"/>
        <name val="Century Gothic"/>
        <scheme val="minor"/>
      </font>
      <numFmt numFmtId="169" formatCode="0.0"/>
      <fill>
        <patternFill patternType="solid">
          <fgColor indexed="64"/>
          <bgColor theme="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font>
      <numFmt numFmtId="169" formatCode="0.0"/>
      <fill>
        <patternFill patternType="solid">
          <fgColor indexed="64"/>
          <bgColor theme="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dxf>
    <dxf>
      <font>
        <b/>
        <i val="0"/>
        <strike val="0"/>
        <condense val="0"/>
        <extend val="0"/>
        <outline val="0"/>
        <shadow val="0"/>
        <u val="none"/>
        <vertAlign val="baseline"/>
        <sz val="11"/>
        <color auto="1"/>
        <name val="Century Gothic"/>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font>
        <b/>
      </font>
      <numFmt numFmtId="2" formatCode="0.00"/>
      <alignment horizontal="center" vertical="center" textRotation="0" wrapText="1" indent="0" justifyLastLine="0" shrinkToFit="0" readingOrder="0"/>
      <border diagonalUp="0" diagonalDown="0" outline="0">
        <left/>
        <right/>
        <top style="thin">
          <color indexed="64"/>
        </top>
        <bottom style="thin">
          <color indexed="64"/>
        </bottom>
      </border>
    </dxf>
    <dxf>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entury Gothic"/>
        <scheme val="minor"/>
      </font>
      <border diagonalUp="0" diagonalDown="0" outline="0">
        <left/>
        <right/>
        <top/>
        <bottom/>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entury Gothic"/>
        <scheme val="minor"/>
      </font>
      <border diagonalUp="0" diagonalDown="0" outline="0">
        <left/>
        <right/>
        <top/>
        <bottom/>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font>
      <numFmt numFmtId="2" formatCode="0.00"/>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entury Gothic"/>
        <scheme val="minor"/>
      </font>
      <border diagonalUp="0" diagonalDown="0" outline="0">
        <left/>
        <right/>
        <top/>
        <bottom/>
      </border>
    </dxf>
    <dxf>
      <numFmt numFmtId="169" formatCode="0.0"/>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entury Gothic"/>
        <scheme val="minor"/>
      </font>
      <border diagonalUp="0" diagonalDown="0" outline="0">
        <left/>
        <right/>
        <top/>
        <bottom/>
      </border>
    </dxf>
    <dxf>
      <numFmt numFmtId="169" formatCode="0.0"/>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E1F4FF"/>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E1F4FF"/>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E1F4FF"/>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entury Gothic"/>
        <scheme val="minor"/>
      </font>
    </dxf>
    <dxf>
      <font>
        <b val="0"/>
      </font>
      <numFmt numFmtId="30" formatCode="@"/>
    </dxf>
  </dxfs>
  <tableStyles count="0" defaultTableStyle="TableStyleMedium2" defaultPivotStyle="PivotStyleLight16"/>
  <colors>
    <mruColors>
      <color rgb="FFE1F4FF"/>
      <color rgb="FFE4F1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73572</xdr:colOff>
      <xdr:row>0</xdr:row>
      <xdr:rowOff>0</xdr:rowOff>
    </xdr:from>
    <xdr:to>
      <xdr:col>2</xdr:col>
      <xdr:colOff>987592</xdr:colOff>
      <xdr:row>5</xdr:row>
      <xdr:rowOff>1592</xdr:rowOff>
    </xdr:to>
    <xdr:pic>
      <xdr:nvPicPr>
        <xdr:cNvPr id="3" name="Imagen 2">
          <a:extLst>
            <a:ext uri="{FF2B5EF4-FFF2-40B4-BE49-F238E27FC236}">
              <a16:creationId xmlns:a16="http://schemas.microsoft.com/office/drawing/2014/main" id="{CD49A3EB-2EE8-4730-BFEB-02ACD5EEE0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572" y="0"/>
          <a:ext cx="1298771" cy="1287291"/>
        </a:xfrm>
        <a:prstGeom prst="rect">
          <a:avLst/>
        </a:prstGeom>
      </xdr:spPr>
    </xdr:pic>
    <xdr:clientData/>
  </xdr:twoCellAnchor>
  <xdr:twoCellAnchor editAs="oneCell">
    <xdr:from>
      <xdr:col>2</xdr:col>
      <xdr:colOff>1187972</xdr:colOff>
      <xdr:row>0</xdr:row>
      <xdr:rowOff>0</xdr:rowOff>
    </xdr:from>
    <xdr:to>
      <xdr:col>2</xdr:col>
      <xdr:colOff>2478591</xdr:colOff>
      <xdr:row>5</xdr:row>
      <xdr:rowOff>1133</xdr:rowOff>
    </xdr:to>
    <xdr:pic>
      <xdr:nvPicPr>
        <xdr:cNvPr id="5" name="Imagen 4">
          <a:extLst>
            <a:ext uri="{FF2B5EF4-FFF2-40B4-BE49-F238E27FC236}">
              <a16:creationId xmlns:a16="http://schemas.microsoft.com/office/drawing/2014/main" id="{A6E917D5-FDB0-4686-B255-D9E024AE18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12530" y="0"/>
          <a:ext cx="1295855" cy="130473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alificaciones" displayName="Calificaciones" ref="C10:AY14" headerRowDxfId="60" totalsRowDxfId="59">
  <autoFilter ref="C10:AY1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autoFilter>
  <tableColumns count="49">
    <tableColumn id="1" xr3:uid="{00000000-0010-0000-0000-000001000000}" name="Nombre del alumno" totalsRowLabel="Total" dataDxfId="58"/>
    <tableColumn id="2" xr3:uid="{00000000-0010-0000-0000-000002000000}" name="Id. del alumno" dataDxfId="57"/>
    <tableColumn id="3" xr3:uid="{00000000-0010-0000-0000-000003000000}" name="Correo Alumno" dataDxfId="56">
      <calculatedColumnFormula>CONCATENATE(Calificaciones[[#This Row],[Id. del alumno]],"@CUH.MX")</calculatedColumnFormula>
    </tableColumn>
    <tableColumn id="25" xr3:uid="{00000000-0010-0000-0000-000019000000}" name="Columna1" dataDxfId="55"/>
    <tableColumn id="24" xr3:uid="{00000000-0010-0000-0000-000018000000}" name="Columna2" dataDxfId="54"/>
    <tableColumn id="23" xr3:uid="{00000000-0010-0000-0000-000017000000}" name="Columna3" dataDxfId="53"/>
    <tableColumn id="22" xr3:uid="{00000000-0010-0000-0000-000016000000}" name="Columna4" dataDxfId="52"/>
    <tableColumn id="21" xr3:uid="{00000000-0010-0000-0000-000015000000}" name="Columna5" dataDxfId="51"/>
    <tableColumn id="45" xr3:uid="{00000000-0010-0000-0000-00002D000000}" name="Columna6" dataDxfId="50"/>
    <tableColumn id="14" xr3:uid="{00000000-0010-0000-0000-00000E000000}" name="Columna7" dataDxfId="49"/>
    <tableColumn id="26" xr3:uid="{00000000-0010-0000-0000-00001A000000}" name="Columna8" dataDxfId="48"/>
    <tableColumn id="13" xr3:uid="{00000000-0010-0000-0000-00000D000000}" name="Columna9" dataDxfId="47"/>
    <tableColumn id="12" xr3:uid="{00000000-0010-0000-0000-00000C000000}" name="Columna10" dataDxfId="46"/>
    <tableColumn id="20" xr3:uid="{00000000-0010-0000-0000-000014000000}" name="Columna11" dataDxfId="45"/>
    <tableColumn id="30" xr3:uid="{00000000-0010-0000-0000-00001E000000}" name="Columna12" dataDxfId="44"/>
    <tableColumn id="29" xr3:uid="{00000000-0010-0000-0000-00001D000000}" name="Columna13" dataDxfId="43"/>
    <tableColumn id="28" xr3:uid="{00000000-0010-0000-0000-00001C000000}" name="Columna14" dataDxfId="42"/>
    <tableColumn id="27" xr3:uid="{00000000-0010-0000-0000-00001B000000}" name="Columna15" dataDxfId="41"/>
    <tableColumn id="43" xr3:uid="{A98BE909-70BB-4552-B0CB-BF55160D8C3E}" name="Columna16" dataDxfId="40"/>
    <tableColumn id="46" xr3:uid="{00000000-0010-0000-0000-00002E000000}" name="Columna17" dataDxfId="39"/>
    <tableColumn id="40" xr3:uid="{00000000-0010-0000-0000-000028000000}" name="Columna18" dataDxfId="38"/>
    <tableColumn id="39" xr3:uid="{00000000-0010-0000-0000-000027000000}" name="Columna19" dataDxfId="37"/>
    <tableColumn id="38" xr3:uid="{00000000-0010-0000-0000-000026000000}" name="Columna20" dataDxfId="36"/>
    <tableColumn id="37" xr3:uid="{00000000-0010-0000-0000-000025000000}" name="Columna21" dataDxfId="35"/>
    <tableColumn id="36" xr3:uid="{00000000-0010-0000-0000-000024000000}" name="Columna22" dataDxfId="34"/>
    <tableColumn id="35" xr3:uid="{00000000-0010-0000-0000-000023000000}" name="Columna23" dataDxfId="33"/>
    <tableColumn id="34" xr3:uid="{00000000-0010-0000-0000-000022000000}" name="Columna24" dataDxfId="32"/>
    <tableColumn id="33" xr3:uid="{00000000-0010-0000-0000-000021000000}" name="Columna25" dataDxfId="31"/>
    <tableColumn id="32" xr3:uid="{00000000-0010-0000-0000-000020000000}" name="Columna26" dataDxfId="30"/>
    <tableColumn id="42" xr3:uid="{00000000-0010-0000-0000-00002A000000}" name="Columna27" dataDxfId="29"/>
    <tableColumn id="47" xr3:uid="{35859D3D-E3A0-4C15-9F14-461FA604A72D}" name="Columna28" dataDxfId="28"/>
    <tableColumn id="54" xr3:uid="{5B5FEAA9-F71B-4263-81C8-CD1837A00DDE}" name="Columna29" dataDxfId="27"/>
    <tableColumn id="55" xr3:uid="{BCBB7BEB-AEB6-488E-9A21-3D8BA0FC30A0}" name="Columna30" dataDxfId="26"/>
    <tableColumn id="6" xr3:uid="{00000000-0010-0000-0000-000006000000}" name="Tareas  y Ejercicios 1er Parcial (60%)" dataDxfId="25" totalsRowDxfId="24"/>
    <tableColumn id="58" xr3:uid="{6C6BD2C8-72E1-4595-B6BF-67F9F7B613B3}" name="Practica 1er Parcial (40%)" dataDxfId="23" totalsRowDxfId="22"/>
    <tableColumn id="49" xr3:uid="{00000000-0010-0000-0000-000031000000}" name="Evaluación Continua 1er Parcial" dataDxfId="21">
      <calculatedColumnFormula>(((AJ11*10/$AJ$7)*0.6+AK11*0.4)/1)*5/10</calculatedColumnFormula>
    </tableColumn>
    <tableColumn id="50" xr3:uid="{00000000-0010-0000-0000-000032000000}" name="Exámen 1er Parcial" dataDxfId="20"/>
    <tableColumn id="51" xr3:uid="{00000000-0010-0000-0000-000033000000}" name="Calificación Primer Parcial" dataDxfId="19">
      <calculatedColumnFormula>AL11+AM11</calculatedColumnFormula>
    </tableColumn>
    <tableColumn id="44" xr3:uid="{00000000-0010-0000-0000-00002C000000}" name="Tareas  y Ejercicios 2do Parcial" dataDxfId="18" totalsRowDxfId="17"/>
    <tableColumn id="15" xr3:uid="{20EE0872-1DB9-4770-BBB6-8B47D18CD5EC}" name="Practica 2do Parcial" dataDxfId="16" totalsRowDxfId="15"/>
    <tableColumn id="48" xr3:uid="{00000000-0010-0000-0000-000030000000}" name="Evaluación Continua 2do Parcial" dataDxfId="14">
      <calculatedColumnFormula>(((AO11*10/$AJ$8)*0.6+AP11*0.4)/1)*5/10</calculatedColumnFormula>
    </tableColumn>
    <tableColumn id="4" xr3:uid="{00000000-0010-0000-0000-000004000000}" name="Exámen 2do Parcial" dataDxfId="13"/>
    <tableColumn id="52" xr3:uid="{00000000-0010-0000-0000-000034000000}" name="Calificación Segundo Parcial" dataDxfId="12">
      <calculatedColumnFormula>AQ11+AR11</calculatedColumnFormula>
    </tableColumn>
    <tableColumn id="10" xr3:uid="{00000000-0010-0000-0000-00000A000000}" name="Exámen Global" dataDxfId="11"/>
    <tableColumn id="5" xr3:uid="{00000000-0010-0000-0000-000005000000}" name="Evaluación Continua 3er Parcial (Proyecto)" dataDxfId="10"/>
    <tableColumn id="7" xr3:uid="{00000000-0010-0000-0000-000007000000}" name="Calificación Tercer Parcial" dataDxfId="9">
      <calculatedColumnFormula>AT11+AU11</calculatedColumnFormula>
    </tableColumn>
    <tableColumn id="41" xr3:uid="{00000000-0010-0000-0000-000029000000}" name="Calificación Tercer Parcial " dataDxfId="8">
      <calculatedColumnFormula>(AV11*5/10)*60/5</calculatedColumnFormula>
    </tableColumn>
    <tableColumn id="11" xr3:uid="{00000000-0010-0000-0000-00000B000000}" name="Porcentaje 1er y Segundo Parcial" dataDxfId="7">
      <calculatedColumnFormula>(AN11*5)/10+(AS11*5)/10</calculatedColumnFormula>
    </tableColumn>
    <tableColumn id="31" xr3:uid="{00000000-0010-0000-0000-00001F000000}" name="Porcentaje 1er y Segundo Parcial " dataDxfId="6" totalsRowDxfId="5">
      <calculatedColumnFormula>(AX11*5/10)*40/5</calculatedColumnFormula>
    </tableColumn>
  </tableColumns>
  <tableStyleInfo name="TableStyleMedium2" showFirstColumn="0" showLastColumn="0" showRowStripes="1" showColumnStripes="0"/>
  <extLst>
    <ext xmlns:x14="http://schemas.microsoft.com/office/spreadsheetml/2009/9/main" uri="{504A1905-F514-4f6f-8877-14C23A59335A}">
      <x14:table altTextSummary="Escriba el nombre del alumno, el identificador del alumno, los puntos y el nombre de las tareas en esta tabla. La puntuación, el porcentaje, las calificaciones con letras y la media se calculan automáticamente"/>
    </ext>
  </extLst>
</table>
</file>

<file path=xl/theme/theme1.xml><?xml version="1.0" encoding="utf-8"?>
<a:theme xmlns:a="http://schemas.openxmlformats.org/drawingml/2006/main" name="SchoolAthleticBudget">
  <a:themeElements>
    <a:clrScheme name="Gradebook">
      <a:dk1>
        <a:srgbClr val="000000"/>
      </a:dk1>
      <a:lt1>
        <a:srgbClr val="FFFFFF"/>
      </a:lt1>
      <a:dk2>
        <a:srgbClr val="000000"/>
      </a:dk2>
      <a:lt2>
        <a:srgbClr val="FFFFFF"/>
      </a:lt2>
      <a:accent1>
        <a:srgbClr val="B0381C"/>
      </a:accent1>
      <a:accent2>
        <a:srgbClr val="2B759D"/>
      </a:accent2>
      <a:accent3>
        <a:srgbClr val="D9782E"/>
      </a:accent3>
      <a:accent4>
        <a:srgbClr val="538D32"/>
      </a:accent4>
      <a:accent5>
        <a:srgbClr val="724271"/>
      </a:accent5>
      <a:accent6>
        <a:srgbClr val="DCB330"/>
      </a:accent6>
      <a:hlink>
        <a:srgbClr val="2B759D"/>
      </a:hlink>
      <a:folHlink>
        <a:srgbClr val="724271"/>
      </a:folHlink>
    </a:clrScheme>
    <a:fontScheme name="Gradebook">
      <a:majorFont>
        <a:latin typeface="Corbel"/>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0"/>
  <sheetViews>
    <sheetView showGridLines="0" zoomScale="190" zoomScaleNormal="190" workbookViewId="0">
      <selection activeCell="B4" sqref="B4"/>
    </sheetView>
  </sheetViews>
  <sheetFormatPr baseColWidth="10" defaultColWidth="9" defaultRowHeight="13.8" x14ac:dyDescent="0.25"/>
  <cols>
    <col min="1" max="1" width="2.59765625" customWidth="1"/>
    <col min="2" max="2" width="95.09765625" style="1" customWidth="1"/>
    <col min="3" max="3" width="2.59765625" customWidth="1"/>
  </cols>
  <sheetData>
    <row r="1" spans="2:2" ht="36.6" customHeight="1" x14ac:dyDescent="0.25">
      <c r="B1" s="2" t="s">
        <v>0</v>
      </c>
    </row>
    <row r="2" spans="2:2" ht="33" customHeight="1" x14ac:dyDescent="0.25">
      <c r="B2" t="s">
        <v>1</v>
      </c>
    </row>
    <row r="3" spans="2:2" ht="16.5" customHeight="1" x14ac:dyDescent="0.25">
      <c r="B3" t="s">
        <v>2</v>
      </c>
    </row>
    <row r="4" spans="2:2" ht="33" customHeight="1" x14ac:dyDescent="0.25">
      <c r="B4" t="s">
        <v>3</v>
      </c>
    </row>
    <row r="5" spans="2:2" ht="33" customHeight="1" x14ac:dyDescent="0.25">
      <c r="B5" t="s">
        <v>4</v>
      </c>
    </row>
    <row r="6" spans="2:2" ht="33" customHeight="1" x14ac:dyDescent="0.25">
      <c r="B6" t="s">
        <v>5</v>
      </c>
    </row>
    <row r="7" spans="2:2" ht="82.5" customHeight="1" x14ac:dyDescent="0.25">
      <c r="B7" t="s">
        <v>6</v>
      </c>
    </row>
    <row r="8" spans="2:2" ht="33" customHeight="1" x14ac:dyDescent="0.25">
      <c r="B8" t="s">
        <v>7</v>
      </c>
    </row>
    <row r="9" spans="2:2" ht="34.5" customHeight="1" x14ac:dyDescent="0.25">
      <c r="B9" t="s">
        <v>8</v>
      </c>
    </row>
    <row r="10" spans="2:2" ht="27.6" x14ac:dyDescent="0.25">
      <c r="B10" t="s">
        <v>9</v>
      </c>
    </row>
  </sheetData>
  <dataValidations count="2">
    <dataValidation allowBlank="1" showInputMessage="1" showErrorMessage="1" prompt="Las instrucciones para usar este libro se encuentran en esta hoja de cálculo, de la celda B2 a la B10 " sqref="A1" xr:uid="{00000000-0002-0000-0000-000000000000}"/>
    <dataValidation allowBlank="1" showInputMessage="1" showErrorMessage="1" prompt="Las instrucciones se encuentran debajo, en el intervalo de celdas B2-B10." sqref="B1" xr:uid="{00000000-0002-0000-0000-000001000000}"/>
  </dataValidations>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pageSetUpPr autoPageBreaks="0" fitToPage="1"/>
  </sheetPr>
  <dimension ref="B1:BA24"/>
  <sheetViews>
    <sheetView showGridLines="0" tabSelected="1" topLeftCell="A8" zoomScale="84" zoomScaleNormal="100" workbookViewId="0">
      <selection activeCell="AN21" sqref="AN21:AW24"/>
    </sheetView>
  </sheetViews>
  <sheetFormatPr baseColWidth="10" defaultColWidth="9" defaultRowHeight="16.5" customHeight="1" x14ac:dyDescent="0.25"/>
  <cols>
    <col min="1" max="1" width="1.59765625" customWidth="1"/>
    <col min="2" max="2" width="3.59765625" customWidth="1"/>
    <col min="3" max="3" width="51.5" customWidth="1"/>
    <col min="4" max="4" width="15.09765625" customWidth="1"/>
    <col min="5" max="5" width="31" customWidth="1"/>
    <col min="6" max="6" width="2.59765625" hidden="1" customWidth="1"/>
    <col min="7" max="10" width="2.59765625" style="3" hidden="1" customWidth="1"/>
    <col min="11" max="11" width="4.09765625" hidden="1" customWidth="1"/>
    <col min="12" max="21" width="2.59765625" hidden="1" customWidth="1"/>
    <col min="22" max="22" width="4.5" hidden="1" customWidth="1"/>
    <col min="23" max="35" width="2.59765625" hidden="1" customWidth="1"/>
    <col min="36" max="37" width="6.5" customWidth="1"/>
    <col min="38" max="38" width="9.09765625" style="22" customWidth="1"/>
    <col min="39" max="39" width="8.5" style="22" customWidth="1"/>
    <col min="40" max="40" width="6.5" style="23" customWidth="1"/>
    <col min="41" max="42" width="4.5" customWidth="1"/>
    <col min="43" max="43" width="5" style="22" customWidth="1"/>
    <col min="44" max="44" width="4.5" style="22" customWidth="1"/>
    <col min="45" max="45" width="8.09765625" style="23" customWidth="1"/>
    <col min="46" max="46" width="7.59765625" customWidth="1"/>
    <col min="47" max="47" width="8" customWidth="1"/>
    <col min="48" max="48" width="10.09765625" style="23" customWidth="1"/>
    <col min="49" max="49" width="10.09765625" style="11" customWidth="1"/>
    <col min="50" max="52" width="9.09765625" style="11" customWidth="1"/>
    <col min="53" max="53" width="9.09765625" style="23" customWidth="1"/>
  </cols>
  <sheetData>
    <row r="1" spans="2:53" ht="36.6" customHeight="1" x14ac:dyDescent="0.25">
      <c r="D1" s="55" t="s">
        <v>10</v>
      </c>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22"/>
    </row>
    <row r="2" spans="2:53" ht="16.5" customHeight="1" x14ac:dyDescent="0.25">
      <c r="C2" s="1"/>
      <c r="D2" s="57" t="s">
        <v>11</v>
      </c>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3"/>
    </row>
    <row r="3" spans="2:53" ht="16.5" customHeight="1" x14ac:dyDescent="0.25">
      <c r="C3" s="1"/>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3"/>
    </row>
    <row r="4" spans="2:53" ht="13.8" x14ac:dyDescent="0.25">
      <c r="C4" s="1"/>
      <c r="D4" s="1"/>
      <c r="E4" s="1"/>
      <c r="F4" s="1"/>
      <c r="AN4" s="53" t="s">
        <v>12</v>
      </c>
      <c r="AO4" s="53"/>
      <c r="AP4" s="53"/>
      <c r="AQ4" s="53"/>
      <c r="AR4" s="53"/>
      <c r="AS4" s="53"/>
      <c r="AT4" s="53"/>
      <c r="AU4" s="53"/>
      <c r="AV4" s="53"/>
      <c r="AW4" s="53"/>
      <c r="AX4" s="53"/>
      <c r="AY4" s="53"/>
      <c r="AZ4" s="53"/>
      <c r="BA4" s="22"/>
    </row>
    <row r="5" spans="2:53" ht="14.4" thickBot="1" x14ac:dyDescent="0.3">
      <c r="C5" s="1"/>
      <c r="D5" s="1"/>
      <c r="E5" s="1"/>
      <c r="F5" s="1"/>
      <c r="AN5" s="53"/>
      <c r="AO5" s="53"/>
      <c r="AP5" s="53"/>
      <c r="AQ5" s="53"/>
      <c r="AR5" s="53"/>
      <c r="AS5" s="53"/>
      <c r="AT5" s="53"/>
      <c r="AU5" s="53"/>
      <c r="AV5" s="53"/>
      <c r="AW5" s="53"/>
      <c r="AX5" s="53"/>
      <c r="AY5" s="53"/>
      <c r="AZ5" s="53"/>
      <c r="BA5" s="22"/>
    </row>
    <row r="6" spans="2:53" ht="16.5" customHeight="1" thickBot="1" x14ac:dyDescent="0.4">
      <c r="C6" s="58" t="s">
        <v>13</v>
      </c>
      <c r="D6" s="59"/>
      <c r="E6" s="61" t="s">
        <v>14</v>
      </c>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3"/>
      <c r="AN6" s="53"/>
      <c r="AO6" s="53"/>
      <c r="AP6" s="53"/>
      <c r="AQ6" s="53"/>
      <c r="AR6" s="53"/>
      <c r="AS6" s="53"/>
      <c r="AT6" s="53"/>
      <c r="AU6" s="53"/>
      <c r="AV6" s="53"/>
      <c r="AW6" s="53"/>
      <c r="AX6" s="53"/>
      <c r="AY6" s="53"/>
      <c r="AZ6" s="53"/>
      <c r="BA6" s="22"/>
    </row>
    <row r="7" spans="2:53" ht="54.75" customHeight="1" x14ac:dyDescent="0.4">
      <c r="C7" s="15" t="s">
        <v>71</v>
      </c>
      <c r="D7" s="15"/>
      <c r="E7" s="44" t="s">
        <v>15</v>
      </c>
      <c r="F7" s="45"/>
      <c r="G7" s="46"/>
      <c r="H7" s="46"/>
      <c r="I7" s="46"/>
      <c r="J7" s="46"/>
      <c r="O7" s="56" t="s">
        <v>16</v>
      </c>
      <c r="P7" s="56"/>
      <c r="Q7" s="56"/>
      <c r="R7" s="56"/>
      <c r="S7" s="56"/>
      <c r="T7" s="56"/>
      <c r="U7" s="56"/>
      <c r="V7" s="56"/>
      <c r="W7" s="56"/>
      <c r="X7" s="56"/>
      <c r="Y7" s="56"/>
      <c r="Z7" s="56"/>
      <c r="AA7" s="56"/>
      <c r="AB7" s="56"/>
      <c r="AC7" s="56"/>
      <c r="AD7" s="56"/>
      <c r="AE7" s="56"/>
      <c r="AF7" s="56"/>
      <c r="AG7" s="56"/>
      <c r="AH7" s="56"/>
      <c r="AI7" s="56"/>
      <c r="AJ7" s="47">
        <v>10</v>
      </c>
      <c r="AK7" s="20"/>
      <c r="AM7" s="54" t="s">
        <v>17</v>
      </c>
      <c r="AN7" s="54"/>
      <c r="AO7" s="54"/>
      <c r="AP7" s="54"/>
      <c r="AQ7" s="54"/>
      <c r="AR7" s="54"/>
      <c r="AS7" s="54"/>
      <c r="AT7" s="54"/>
      <c r="AU7" s="54"/>
      <c r="AV7" s="54"/>
      <c r="AW7" s="54"/>
      <c r="AX7" s="54"/>
      <c r="AY7" s="54"/>
      <c r="AZ7" s="54"/>
      <c r="BA7" s="22"/>
    </row>
    <row r="8" spans="2:53" ht="60" customHeight="1" x14ac:dyDescent="0.25">
      <c r="C8" s="60" t="s">
        <v>88</v>
      </c>
      <c r="D8" s="60"/>
      <c r="E8" s="13" t="s">
        <v>18</v>
      </c>
      <c r="F8" s="13"/>
      <c r="G8" s="16"/>
      <c r="H8" s="16"/>
      <c r="I8" s="16"/>
      <c r="J8" s="16"/>
      <c r="O8" s="56" t="s">
        <v>19</v>
      </c>
      <c r="P8" s="56"/>
      <c r="Q8" s="56"/>
      <c r="R8" s="56"/>
      <c r="S8" s="56"/>
      <c r="T8" s="56"/>
      <c r="U8" s="56"/>
      <c r="V8" s="56"/>
      <c r="W8" s="56"/>
      <c r="X8" s="56"/>
      <c r="Y8" s="56"/>
      <c r="Z8" s="56"/>
      <c r="AA8" s="56"/>
      <c r="AB8" s="56"/>
      <c r="AC8" s="56"/>
      <c r="AD8" s="56"/>
      <c r="AE8" s="56"/>
      <c r="AF8" s="56"/>
      <c r="AG8" s="56"/>
      <c r="AH8" s="56"/>
      <c r="AI8" s="56"/>
      <c r="AJ8" s="10">
        <v>10</v>
      </c>
      <c r="AK8" s="20"/>
      <c r="AM8" s="54"/>
      <c r="AN8" s="54"/>
      <c r="AO8" s="54"/>
      <c r="AP8" s="54"/>
      <c r="AQ8" s="54"/>
      <c r="AR8" s="54"/>
      <c r="AS8" s="54"/>
      <c r="AT8" s="54"/>
      <c r="AU8" s="54"/>
      <c r="AV8" s="54"/>
      <c r="AW8" s="54"/>
      <c r="AX8" s="54"/>
      <c r="AY8" s="54"/>
      <c r="AZ8" s="54"/>
      <c r="BA8" s="22"/>
    </row>
    <row r="9" spans="2:53" ht="16.5" customHeight="1" x14ac:dyDescent="0.25">
      <c r="C9" s="60"/>
      <c r="D9" s="60"/>
      <c r="E9" s="13"/>
      <c r="F9" s="13"/>
      <c r="G9" s="16"/>
      <c r="H9" s="16"/>
      <c r="I9" s="16"/>
      <c r="J9" s="16"/>
    </row>
    <row r="10" spans="2:53" s="4" customFormat="1" ht="213" customHeight="1" x14ac:dyDescent="0.25">
      <c r="C10" s="5" t="s">
        <v>20</v>
      </c>
      <c r="D10" s="5" t="s">
        <v>21</v>
      </c>
      <c r="E10" s="5" t="s">
        <v>22</v>
      </c>
      <c r="F10" s="6" t="s">
        <v>23</v>
      </c>
      <c r="G10" s="6" t="s">
        <v>24</v>
      </c>
      <c r="H10" s="6" t="s">
        <v>25</v>
      </c>
      <c r="I10" s="6" t="s">
        <v>26</v>
      </c>
      <c r="J10" s="6" t="s">
        <v>27</v>
      </c>
      <c r="K10" s="6" t="s">
        <v>28</v>
      </c>
      <c r="L10" s="6" t="s">
        <v>29</v>
      </c>
      <c r="M10" s="6" t="s">
        <v>30</v>
      </c>
      <c r="N10" s="6" t="s">
        <v>31</v>
      </c>
      <c r="O10" s="6" t="s">
        <v>32</v>
      </c>
      <c r="P10" s="6" t="s">
        <v>33</v>
      </c>
      <c r="Q10" s="6" t="s">
        <v>34</v>
      </c>
      <c r="R10" s="6" t="s">
        <v>35</v>
      </c>
      <c r="S10" s="6" t="s">
        <v>36</v>
      </c>
      <c r="T10" s="6" t="s">
        <v>37</v>
      </c>
      <c r="U10" s="6" t="s">
        <v>38</v>
      </c>
      <c r="V10" s="6" t="s">
        <v>39</v>
      </c>
      <c r="W10" s="19" t="s">
        <v>40</v>
      </c>
      <c r="X10" s="19" t="s">
        <v>41</v>
      </c>
      <c r="Y10" s="19" t="s">
        <v>42</v>
      </c>
      <c r="Z10" s="19" t="s">
        <v>43</v>
      </c>
      <c r="AA10" s="19" t="s">
        <v>44</v>
      </c>
      <c r="AB10" s="19" t="s">
        <v>45</v>
      </c>
      <c r="AC10" s="19" t="s">
        <v>46</v>
      </c>
      <c r="AD10" s="19" t="s">
        <v>47</v>
      </c>
      <c r="AE10" s="19" t="s">
        <v>48</v>
      </c>
      <c r="AF10" s="19" t="s">
        <v>49</v>
      </c>
      <c r="AG10" s="30" t="s">
        <v>50</v>
      </c>
      <c r="AH10" s="30" t="s">
        <v>51</v>
      </c>
      <c r="AI10" s="30" t="s">
        <v>52</v>
      </c>
      <c r="AJ10" s="7" t="s">
        <v>53</v>
      </c>
      <c r="AK10" s="7" t="s">
        <v>54</v>
      </c>
      <c r="AL10" s="42" t="s">
        <v>55</v>
      </c>
      <c r="AM10" s="42" t="s">
        <v>56</v>
      </c>
      <c r="AN10" s="28" t="s">
        <v>57</v>
      </c>
      <c r="AO10" s="8" t="s">
        <v>58</v>
      </c>
      <c r="AP10" s="8" t="s">
        <v>59</v>
      </c>
      <c r="AQ10" s="51" t="s">
        <v>60</v>
      </c>
      <c r="AR10" s="51" t="s">
        <v>61</v>
      </c>
      <c r="AS10" s="26" t="s">
        <v>62</v>
      </c>
      <c r="AT10" s="9" t="s">
        <v>63</v>
      </c>
      <c r="AU10" s="9" t="s">
        <v>64</v>
      </c>
      <c r="AV10" s="29" t="s">
        <v>65</v>
      </c>
      <c r="AW10" s="12" t="s">
        <v>66</v>
      </c>
      <c r="AX10" s="12" t="s">
        <v>67</v>
      </c>
      <c r="AY10" s="9" t="s">
        <v>68</v>
      </c>
      <c r="AZ10" s="21" t="s">
        <v>69</v>
      </c>
      <c r="BA10" s="24" t="s">
        <v>70</v>
      </c>
    </row>
    <row r="11" spans="2:53" ht="16.2" customHeight="1" x14ac:dyDescent="0.25">
      <c r="B11" s="17">
        <v>1</v>
      </c>
      <c r="C11" s="18" t="s">
        <v>72</v>
      </c>
      <c r="D11" s="18" t="s">
        <v>80</v>
      </c>
      <c r="E11" s="31" t="str">
        <f>CONCATENATE(Calificaciones[[#This Row],[Id. del alumno]],"@CUH.MX")</f>
        <v>CUH512410327@CUH.MX</v>
      </c>
      <c r="F11" s="32"/>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4">
        <v>8.1999999999999993</v>
      </c>
      <c r="AK11" s="34">
        <v>10</v>
      </c>
      <c r="AL11" s="43">
        <f t="shared" ref="AL11:AL15" si="0">(((AJ11*10/$AJ$7)*0.6+AK11*0.4)/1)*5/10</f>
        <v>4.4599999999999991</v>
      </c>
      <c r="AM11" s="43">
        <v>5</v>
      </c>
      <c r="AN11" s="35">
        <f t="shared" ref="AN11:AN13" si="1">AL11+AM11</f>
        <v>9.4599999999999991</v>
      </c>
      <c r="AO11" s="36">
        <v>7.1</v>
      </c>
      <c r="AP11" s="37">
        <v>7.6</v>
      </c>
      <c r="AQ11" s="52">
        <f>(((AO11*10/$AJ$8)*0.6+AP11*0.4)/1)*5/10</f>
        <v>3.65</v>
      </c>
      <c r="AR11" s="43">
        <v>4.5999999999999996</v>
      </c>
      <c r="AS11" s="27">
        <f t="shared" ref="AS11:AS18" si="2">AQ11+AR11</f>
        <v>8.25</v>
      </c>
      <c r="AT11" s="43"/>
      <c r="AU11" s="38"/>
      <c r="AV11" s="39">
        <f>AT11+AU11</f>
        <v>0</v>
      </c>
      <c r="AW11" s="40">
        <f t="shared" ref="AW11:AW14" si="3">(AV11*5/10)*60/5</f>
        <v>0</v>
      </c>
      <c r="AX11" s="41">
        <f t="shared" ref="AX11:AX14" si="4">(AN11*5)/10+(AS11*5)/10</f>
        <v>8.8550000000000004</v>
      </c>
      <c r="AY11" s="41">
        <f t="shared" ref="AY11:AY14" si="5">(AX11*5/10)*40/5</f>
        <v>35.42</v>
      </c>
      <c r="AZ11" s="14">
        <f t="shared" ref="AZ11:AZ13" si="6">AW11+AY11</f>
        <v>35.42</v>
      </c>
      <c r="BA11" s="25">
        <f t="shared" ref="BA11:BA13" si="7">AZ11/10</f>
        <v>3.5420000000000003</v>
      </c>
    </row>
    <row r="12" spans="2:53" ht="15.6" customHeight="1" x14ac:dyDescent="0.25">
      <c r="B12" s="17">
        <v>2</v>
      </c>
      <c r="C12" s="18" t="s">
        <v>73</v>
      </c>
      <c r="D12" s="18" t="s">
        <v>81</v>
      </c>
      <c r="E12" s="31" t="str">
        <f>CONCATENATE(Calificaciones[[#This Row],[Id. del alumno]],"@CUH.MX")</f>
        <v>CUH512410168@CUH.MX</v>
      </c>
      <c r="F12" s="32"/>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4">
        <v>7.1</v>
      </c>
      <c r="AK12" s="34">
        <v>10</v>
      </c>
      <c r="AL12" s="43">
        <f t="shared" si="0"/>
        <v>4.13</v>
      </c>
      <c r="AM12" s="43">
        <v>3.63</v>
      </c>
      <c r="AN12" s="35">
        <f t="shared" si="1"/>
        <v>7.76</v>
      </c>
      <c r="AO12" s="36">
        <v>8</v>
      </c>
      <c r="AP12" s="37">
        <v>10</v>
      </c>
      <c r="AQ12" s="52">
        <f t="shared" ref="AQ12:AQ18" si="8">(((AO12*10/$AJ$8)*0.6+AP12*0.4)/1)*5/10</f>
        <v>4.4000000000000004</v>
      </c>
      <c r="AR12" s="43">
        <v>4.66</v>
      </c>
      <c r="AS12" s="27">
        <f t="shared" si="2"/>
        <v>9.06</v>
      </c>
      <c r="AT12" s="43"/>
      <c r="AU12" s="38"/>
      <c r="AV12" s="39">
        <f>AT12+AU12</f>
        <v>0</v>
      </c>
      <c r="AW12" s="40">
        <f t="shared" si="3"/>
        <v>0</v>
      </c>
      <c r="AX12" s="41">
        <f t="shared" si="4"/>
        <v>8.41</v>
      </c>
      <c r="AY12" s="41">
        <f t="shared" si="5"/>
        <v>33.64</v>
      </c>
      <c r="AZ12" s="14">
        <f t="shared" si="6"/>
        <v>33.64</v>
      </c>
      <c r="BA12" s="25">
        <f t="shared" si="7"/>
        <v>3.3639999999999999</v>
      </c>
    </row>
    <row r="13" spans="2:53" ht="15.6" customHeight="1" x14ac:dyDescent="0.25">
      <c r="B13" s="17">
        <v>3</v>
      </c>
      <c r="C13" s="18" t="s">
        <v>74</v>
      </c>
      <c r="D13" s="18" t="s">
        <v>82</v>
      </c>
      <c r="E13" s="31" t="str">
        <f>CONCATENATE(Calificaciones[[#This Row],[Id. del alumno]],"@CUH.MX")</f>
        <v>CUH512410177@CUH.MX</v>
      </c>
      <c r="F13" s="32"/>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4">
        <v>9.9</v>
      </c>
      <c r="AK13" s="34">
        <v>10</v>
      </c>
      <c r="AL13" s="43">
        <f t="shared" si="0"/>
        <v>4.9700000000000006</v>
      </c>
      <c r="AM13" s="43">
        <v>4.5</v>
      </c>
      <c r="AN13" s="35">
        <f t="shared" si="1"/>
        <v>9.4700000000000006</v>
      </c>
      <c r="AO13" s="36">
        <v>10</v>
      </c>
      <c r="AP13" s="37">
        <v>10</v>
      </c>
      <c r="AQ13" s="52">
        <f t="shared" si="8"/>
        <v>5</v>
      </c>
      <c r="AR13" s="43">
        <v>4.66</v>
      </c>
      <c r="AS13" s="27">
        <f t="shared" si="2"/>
        <v>9.66</v>
      </c>
      <c r="AT13" s="43"/>
      <c r="AU13" s="38"/>
      <c r="AV13" s="39">
        <f t="shared" ref="AV13:AV14" si="9">AT13+AU13</f>
        <v>0</v>
      </c>
      <c r="AW13" s="40">
        <f t="shared" si="3"/>
        <v>0</v>
      </c>
      <c r="AX13" s="41">
        <f t="shared" si="4"/>
        <v>9.5650000000000013</v>
      </c>
      <c r="AY13" s="41">
        <f t="shared" si="5"/>
        <v>38.260000000000005</v>
      </c>
      <c r="AZ13" s="14">
        <f t="shared" si="6"/>
        <v>38.260000000000005</v>
      </c>
      <c r="BA13" s="25">
        <f t="shared" si="7"/>
        <v>3.8260000000000005</v>
      </c>
    </row>
    <row r="14" spans="2:53" ht="16.2" customHeight="1" x14ac:dyDescent="0.25">
      <c r="B14" s="17">
        <v>4</v>
      </c>
      <c r="C14" s="18" t="s">
        <v>75</v>
      </c>
      <c r="D14" s="18" t="s">
        <v>83</v>
      </c>
      <c r="E14" s="31" t="str">
        <f>CONCATENATE(Calificaciones[[#This Row],[Id. del alumno]],"@CUH.MX")</f>
        <v>CUH512410339@CUH.MX</v>
      </c>
      <c r="F14" s="32"/>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4">
        <v>7.9</v>
      </c>
      <c r="AK14" s="34">
        <v>10</v>
      </c>
      <c r="AL14" s="43">
        <f t="shared" si="0"/>
        <v>4.37</v>
      </c>
      <c r="AM14" s="43">
        <v>4.5</v>
      </c>
      <c r="AN14" s="35">
        <f>Calificaciones[[#This Row],[Evaluación Continua 1er Parcial]]+Calificaciones[[#This Row],[Exámen 1er Parcial]]</f>
        <v>8.870000000000001</v>
      </c>
      <c r="AO14" s="36">
        <v>9.1</v>
      </c>
      <c r="AP14" s="37">
        <v>10</v>
      </c>
      <c r="AQ14" s="52">
        <f t="shared" si="8"/>
        <v>4.7300000000000004</v>
      </c>
      <c r="AR14" s="43">
        <v>4.33</v>
      </c>
      <c r="AS14" s="27">
        <f t="shared" si="2"/>
        <v>9.06</v>
      </c>
      <c r="AT14" s="43"/>
      <c r="AU14" s="38"/>
      <c r="AV14" s="39">
        <f t="shared" si="9"/>
        <v>0</v>
      </c>
      <c r="AW14" s="40">
        <f t="shared" si="3"/>
        <v>0</v>
      </c>
      <c r="AX14" s="41">
        <f t="shared" si="4"/>
        <v>8.9649999999999999</v>
      </c>
      <c r="AY14" s="41">
        <f t="shared" si="5"/>
        <v>35.86</v>
      </c>
      <c r="AZ14" s="14">
        <f t="shared" ref="AZ14" si="10">AW14+AY14</f>
        <v>35.86</v>
      </c>
      <c r="BA14" s="25">
        <f t="shared" ref="BA14:BA18" si="11">AZ14/10</f>
        <v>3.5859999999999999</v>
      </c>
    </row>
    <row r="15" spans="2:53" ht="16.5" customHeight="1" x14ac:dyDescent="0.25">
      <c r="B15" s="17">
        <v>5</v>
      </c>
      <c r="C15" s="18" t="s">
        <v>76</v>
      </c>
      <c r="D15" s="18" t="s">
        <v>84</v>
      </c>
      <c r="E15" s="31" t="str">
        <f>CONCATENATE(D15,"@CUH.MX")</f>
        <v>CUH512410256@CUH.MX</v>
      </c>
      <c r="F15" s="32"/>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4">
        <v>1</v>
      </c>
      <c r="AK15" s="34">
        <v>0</v>
      </c>
      <c r="AL15" s="48">
        <f t="shared" si="0"/>
        <v>0.3</v>
      </c>
      <c r="AM15" s="43">
        <v>5</v>
      </c>
      <c r="AN15" s="35">
        <f t="shared" ref="AN15:AN18" si="12">AL15+AM15</f>
        <v>5.3</v>
      </c>
      <c r="AO15" s="36">
        <v>1</v>
      </c>
      <c r="AP15" s="37">
        <v>0</v>
      </c>
      <c r="AQ15" s="52">
        <f t="shared" si="8"/>
        <v>0.3</v>
      </c>
      <c r="AR15" s="43">
        <v>3</v>
      </c>
      <c r="AS15" s="27">
        <f t="shared" si="2"/>
        <v>3.3</v>
      </c>
      <c r="AT15" s="43"/>
      <c r="AU15" s="38"/>
      <c r="AV15" s="39">
        <f t="shared" ref="AV15:AV18" si="13">AT15+AU15</f>
        <v>0</v>
      </c>
      <c r="AW15" s="40">
        <f t="shared" ref="AW15:AW18" si="14">(AV15*5/10)*60/5</f>
        <v>0</v>
      </c>
      <c r="AX15" s="41">
        <f t="shared" ref="AX15:AX18" si="15">(AN15*5)/10+(AS15*5)/10</f>
        <v>4.3</v>
      </c>
      <c r="AY15" s="41">
        <f t="shared" ref="AY15:AY18" si="16">(AX15*5/10)*40/5</f>
        <v>17.2</v>
      </c>
      <c r="AZ15" s="14">
        <f>AW15+AY15</f>
        <v>17.2</v>
      </c>
      <c r="BA15" s="25">
        <f t="shared" si="11"/>
        <v>1.72</v>
      </c>
    </row>
    <row r="16" spans="2:53" ht="16.5" customHeight="1" x14ac:dyDescent="0.25">
      <c r="B16" s="17">
        <v>6</v>
      </c>
      <c r="C16" s="18" t="s">
        <v>77</v>
      </c>
      <c r="D16" s="18" t="s">
        <v>85</v>
      </c>
      <c r="E16" s="31" t="str">
        <f t="shared" ref="E16:E18" si="17">CONCATENATE(D16,"@CUH.MX")</f>
        <v>CUH512410166@CUH.MX</v>
      </c>
      <c r="F16" s="32"/>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4">
        <v>9.9</v>
      </c>
      <c r="AK16" s="34">
        <v>10</v>
      </c>
      <c r="AL16" s="43">
        <f t="shared" ref="AL16:AL18" si="18">(((AJ16*10/$AJ$7)*0.6+AK16*0.4)/1)*5/10</f>
        <v>4.9700000000000006</v>
      </c>
      <c r="AM16" s="43">
        <v>3.3</v>
      </c>
      <c r="AN16" s="35">
        <f t="shared" si="12"/>
        <v>8.27</v>
      </c>
      <c r="AO16" s="36">
        <v>10</v>
      </c>
      <c r="AP16" s="37">
        <v>9.8000000000000007</v>
      </c>
      <c r="AQ16" s="52">
        <f t="shared" si="8"/>
        <v>4.96</v>
      </c>
      <c r="AR16" s="43">
        <v>4</v>
      </c>
      <c r="AS16" s="27">
        <f t="shared" si="2"/>
        <v>8.9600000000000009</v>
      </c>
      <c r="AT16" s="43"/>
      <c r="AU16" s="38"/>
      <c r="AV16" s="39">
        <f t="shared" si="13"/>
        <v>0</v>
      </c>
      <c r="AW16" s="40">
        <f t="shared" si="14"/>
        <v>0</v>
      </c>
      <c r="AX16" s="41">
        <f t="shared" si="15"/>
        <v>8.6150000000000002</v>
      </c>
      <c r="AY16" s="41">
        <f t="shared" si="16"/>
        <v>34.46</v>
      </c>
      <c r="AZ16" s="14">
        <f>AW16+AY16</f>
        <v>34.46</v>
      </c>
      <c r="BA16" s="25">
        <f t="shared" si="11"/>
        <v>3.4460000000000002</v>
      </c>
    </row>
    <row r="17" spans="2:53" ht="16.5" customHeight="1" x14ac:dyDescent="0.25">
      <c r="B17" s="17">
        <v>7</v>
      </c>
      <c r="C17" s="18" t="s">
        <v>78</v>
      </c>
      <c r="D17" s="18" t="s">
        <v>86</v>
      </c>
      <c r="E17" s="31" t="str">
        <f t="shared" si="17"/>
        <v>CUH512410276@CUH.MX</v>
      </c>
      <c r="F17" s="32"/>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4">
        <v>9.6999999999999993</v>
      </c>
      <c r="AK17" s="34">
        <v>10</v>
      </c>
      <c r="AL17" s="43">
        <f t="shared" si="18"/>
        <v>4.91</v>
      </c>
      <c r="AM17" s="43">
        <v>3.8</v>
      </c>
      <c r="AN17" s="35">
        <f t="shared" si="12"/>
        <v>8.7100000000000009</v>
      </c>
      <c r="AO17" s="50">
        <v>9.8000000000000007</v>
      </c>
      <c r="AP17" s="37">
        <v>10</v>
      </c>
      <c r="AQ17" s="52">
        <f t="shared" si="8"/>
        <v>4.9399999999999995</v>
      </c>
      <c r="AR17" s="43">
        <v>5</v>
      </c>
      <c r="AS17" s="27">
        <f t="shared" si="2"/>
        <v>9.94</v>
      </c>
      <c r="AT17" s="49"/>
      <c r="AU17" s="38"/>
      <c r="AV17" s="39">
        <f>AT17+AU17</f>
        <v>0</v>
      </c>
      <c r="AW17" s="40">
        <f t="shared" si="14"/>
        <v>0</v>
      </c>
      <c r="AX17" s="41">
        <f t="shared" si="15"/>
        <v>9.3249999999999993</v>
      </c>
      <c r="AY17" s="41">
        <f t="shared" si="16"/>
        <v>37.299999999999997</v>
      </c>
      <c r="AZ17" s="14">
        <f>AW17+AY17</f>
        <v>37.299999999999997</v>
      </c>
      <c r="BA17" s="25">
        <f t="shared" si="11"/>
        <v>3.7299999999999995</v>
      </c>
    </row>
    <row r="18" spans="2:53" ht="16.2" customHeight="1" x14ac:dyDescent="0.25">
      <c r="B18" s="17">
        <v>8</v>
      </c>
      <c r="C18" s="18" t="s">
        <v>79</v>
      </c>
      <c r="D18" s="18" t="s">
        <v>87</v>
      </c>
      <c r="E18" s="31" t="str">
        <f t="shared" si="17"/>
        <v>CUH512410278@CUH.MX</v>
      </c>
      <c r="F18" s="32"/>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4">
        <v>9.1999999999999993</v>
      </c>
      <c r="AK18" s="34">
        <v>10</v>
      </c>
      <c r="AL18" s="43">
        <f t="shared" si="18"/>
        <v>4.76</v>
      </c>
      <c r="AM18" s="43">
        <v>3.18</v>
      </c>
      <c r="AN18" s="35">
        <f t="shared" si="12"/>
        <v>7.9399999999999995</v>
      </c>
      <c r="AO18" s="36">
        <v>9.6</v>
      </c>
      <c r="AP18" s="37">
        <v>10</v>
      </c>
      <c r="AQ18" s="52">
        <f t="shared" si="8"/>
        <v>4.88</v>
      </c>
      <c r="AR18" s="43">
        <v>2.66</v>
      </c>
      <c r="AS18" s="27">
        <f t="shared" si="2"/>
        <v>7.54</v>
      </c>
      <c r="AT18" s="43"/>
      <c r="AU18" s="38"/>
      <c r="AV18" s="39">
        <f t="shared" si="13"/>
        <v>0</v>
      </c>
      <c r="AW18" s="40">
        <f t="shared" si="14"/>
        <v>0</v>
      </c>
      <c r="AX18" s="41">
        <f t="shared" si="15"/>
        <v>7.74</v>
      </c>
      <c r="AY18" s="41">
        <f t="shared" si="16"/>
        <v>30.96</v>
      </c>
      <c r="AZ18" s="14">
        <f>AW18+AY18</f>
        <v>30.96</v>
      </c>
      <c r="BA18" s="25">
        <f t="shared" si="11"/>
        <v>3.0960000000000001</v>
      </c>
    </row>
    <row r="21" spans="2:53" ht="16.5" customHeight="1" x14ac:dyDescent="0.25">
      <c r="AN21" s="64"/>
      <c r="AO21" s="64"/>
      <c r="AP21" s="64"/>
      <c r="AQ21" s="64"/>
      <c r="AR21" s="64"/>
      <c r="AS21" s="64"/>
      <c r="AT21" s="64"/>
      <c r="AU21" s="64"/>
      <c r="AV21" s="64"/>
      <c r="AW21" s="64"/>
    </row>
    <row r="22" spans="2:53" ht="16.5" customHeight="1" x14ac:dyDescent="0.25">
      <c r="AN22" s="64"/>
      <c r="AO22" s="64"/>
      <c r="AP22" s="64"/>
      <c r="AQ22" s="64"/>
      <c r="AR22" s="64"/>
      <c r="AS22" s="64"/>
      <c r="AT22" s="64"/>
      <c r="AU22" s="64"/>
      <c r="AV22" s="64"/>
      <c r="AW22" s="64"/>
    </row>
    <row r="23" spans="2:53" ht="16.5" customHeight="1" x14ac:dyDescent="0.25">
      <c r="AN23" s="64"/>
      <c r="AO23" s="64"/>
      <c r="AP23" s="64"/>
      <c r="AQ23" s="64"/>
      <c r="AR23" s="64"/>
      <c r="AS23" s="64"/>
      <c r="AT23" s="64"/>
      <c r="AU23" s="64"/>
      <c r="AV23" s="64"/>
      <c r="AW23" s="64"/>
    </row>
    <row r="24" spans="2:53" ht="16.5" customHeight="1" x14ac:dyDescent="0.25">
      <c r="AN24" s="64"/>
      <c r="AO24" s="64"/>
      <c r="AP24" s="64"/>
      <c r="AQ24" s="64"/>
      <c r="AR24" s="64"/>
      <c r="AS24" s="64"/>
      <c r="AT24" s="64"/>
      <c r="AU24" s="64"/>
      <c r="AV24" s="64"/>
      <c r="AW24" s="64"/>
    </row>
  </sheetData>
  <mergeCells count="10">
    <mergeCell ref="AN21:AW24"/>
    <mergeCell ref="AN4:AZ6"/>
    <mergeCell ref="AM7:AZ8"/>
    <mergeCell ref="D1:AZ1"/>
    <mergeCell ref="O7:AI7"/>
    <mergeCell ref="O8:AI8"/>
    <mergeCell ref="D2:AX3"/>
    <mergeCell ref="C6:D6"/>
    <mergeCell ref="C8:D9"/>
    <mergeCell ref="E6:AJ6"/>
  </mergeCells>
  <phoneticPr fontId="0" type="noConversion"/>
  <conditionalFormatting sqref="AN11:AN18">
    <cfRule type="colorScale" priority="819">
      <colorScale>
        <cfvo type="num" val="5"/>
        <cfvo type="num" val="7"/>
        <cfvo type="num" val="10"/>
        <color rgb="FFF8696B"/>
        <color rgb="FFFFEB84"/>
        <color rgb="FF63BE7B"/>
      </colorScale>
    </cfRule>
    <cfRule type="colorScale" priority="820">
      <colorScale>
        <cfvo type="num" val="5"/>
        <cfvo type="num" val="7"/>
        <cfvo type="num" val="10"/>
        <color rgb="FFC00000"/>
        <color rgb="FFFFEB84"/>
        <color rgb="FF63BE7B"/>
      </colorScale>
    </cfRule>
    <cfRule type="colorScale" priority="821">
      <colorScale>
        <cfvo type="num" val="0"/>
        <cfvo type="num" val="6.2"/>
        <cfvo type="num" val="10.199999999999999"/>
        <color rgb="FFF8696B"/>
        <color rgb="FFFFEB84"/>
        <color rgb="FF63BE7B"/>
      </colorScale>
    </cfRule>
    <cfRule type="colorScale" priority="822">
      <colorScale>
        <cfvo type="min"/>
        <cfvo type="percentile" val="50"/>
        <cfvo type="max"/>
        <color rgb="FFF8696B"/>
        <color rgb="FFFFEB84"/>
        <color rgb="FF63BE7B"/>
      </colorScale>
    </cfRule>
    <cfRule type="cellIs" dxfId="4" priority="823" operator="greaterThan">
      <formula>6</formula>
    </cfRule>
    <cfRule type="colorScale" priority="824">
      <colorScale>
        <cfvo type="min"/>
        <cfvo type="max"/>
        <color rgb="FFFCFCFF"/>
        <color rgb="FFF8696B"/>
      </colorScale>
    </cfRule>
  </conditionalFormatting>
  <conditionalFormatting sqref="AS11:AS18">
    <cfRule type="colorScale" priority="825">
      <colorScale>
        <cfvo type="num" val="0"/>
        <cfvo type="num" val="6.2"/>
        <cfvo type="num" val="10.1"/>
        <color rgb="FFF8696B"/>
        <color rgb="FFFFEB84"/>
        <color rgb="FF63BE7B"/>
      </colorScale>
    </cfRule>
    <cfRule type="colorScale" priority="826">
      <colorScale>
        <cfvo type="num" val="6"/>
        <cfvo type="num" val="7"/>
        <cfvo type="num" val="10"/>
        <color rgb="FFF8696B"/>
        <color rgb="FFFFEB84"/>
        <color rgb="FF63BE7B"/>
      </colorScale>
    </cfRule>
    <cfRule type="colorScale" priority="827">
      <colorScale>
        <cfvo type="min"/>
        <cfvo type="percentile" val="50"/>
        <cfvo type="max"/>
        <color rgb="FFF8696B"/>
        <color rgb="FFFFEB84"/>
        <color rgb="FF63BE7B"/>
      </colorScale>
    </cfRule>
    <cfRule type="cellIs" dxfId="3" priority="828" operator="greaterThan">
      <formula>6</formula>
    </cfRule>
  </conditionalFormatting>
  <conditionalFormatting sqref="AV11:AV18">
    <cfRule type="colorScale" priority="829">
      <colorScale>
        <cfvo type="num" val="0"/>
        <cfvo type="num" val="6.2"/>
        <cfvo type="num" val="10.1"/>
        <color rgb="FFF8696B"/>
        <color rgb="FFFFEB84"/>
        <color rgb="FF63BE7B"/>
      </colorScale>
    </cfRule>
    <cfRule type="colorScale" priority="830">
      <colorScale>
        <cfvo type="min"/>
        <cfvo type="percentile" val="50"/>
        <cfvo type="max"/>
        <color rgb="FFF8696B"/>
        <color rgb="FFFFEB84"/>
        <color rgb="FF63BE7B"/>
      </colorScale>
    </cfRule>
    <cfRule type="cellIs" dxfId="2" priority="831" operator="greaterThan">
      <formula>6</formula>
    </cfRule>
  </conditionalFormatting>
  <conditionalFormatting sqref="BA1:BA1048576">
    <cfRule type="colorScale" priority="1">
      <colorScale>
        <cfvo type="min"/>
        <cfvo type="percentile" val="40"/>
        <cfvo type="max"/>
        <color rgb="FFF8696B"/>
        <color rgb="FFFFEB84"/>
        <color rgb="FF63BE7B"/>
      </colorScale>
    </cfRule>
    <cfRule type="colorScale" priority="2">
      <colorScale>
        <cfvo type="min"/>
        <cfvo type="percent" val="50"/>
        <cfvo type="max"/>
        <color rgb="FFFF0000"/>
        <color rgb="FFFFEB84"/>
        <color rgb="FF00B050"/>
      </colorScale>
    </cfRule>
  </conditionalFormatting>
  <conditionalFormatting sqref="BA11:BA18">
    <cfRule type="colorScale" priority="832">
      <colorScale>
        <cfvo type="num" val="0"/>
        <cfvo type="num" val="6.2"/>
        <cfvo type="num" val="10.1"/>
        <color rgb="FFFF0000"/>
        <color rgb="FFFFEB84"/>
        <color rgb="FF63BE7B"/>
      </colorScale>
    </cfRule>
    <cfRule type="colorScale" priority="833">
      <colorScale>
        <cfvo type="num" val="5.9"/>
        <cfvo type="num" val="7"/>
        <cfvo type="num" val="10"/>
        <color rgb="FFF8696B"/>
        <color rgb="FFFFEB84"/>
        <color rgb="FF63BE7B"/>
      </colorScale>
    </cfRule>
    <cfRule type="colorScale" priority="834">
      <colorScale>
        <cfvo type="num" val="5"/>
        <cfvo type="percentile" val="50"/>
        <cfvo type="max"/>
        <color rgb="FFF8696B"/>
        <color rgb="FFFFEB84"/>
        <color rgb="FF63BE7B"/>
      </colorScale>
    </cfRule>
    <cfRule type="colorScale" priority="835">
      <colorScale>
        <cfvo type="num" val="0"/>
        <cfvo type="num" val="6.2"/>
        <cfvo type="num" val="10.1"/>
        <color rgb="FFF8696B"/>
        <color rgb="FFFFEB84"/>
        <color rgb="FF63BE7B"/>
      </colorScale>
    </cfRule>
    <cfRule type="colorScale" priority="836">
      <colorScale>
        <cfvo type="num" val="0"/>
        <cfvo type="num" val="6.2"/>
        <cfvo type="num" val="10"/>
        <color rgb="FFF8696B"/>
        <color rgb="FFFFEB84"/>
        <color rgb="FF63BE7B"/>
      </colorScale>
    </cfRule>
    <cfRule type="colorScale" priority="837">
      <colorScale>
        <cfvo type="num" val="0"/>
        <cfvo type="num" val="6.5"/>
        <cfvo type="num" val="10.1"/>
        <color rgb="FFF8696B"/>
        <color rgb="FFFFEB84"/>
        <color rgb="FF63BE7B"/>
      </colorScale>
    </cfRule>
    <cfRule type="colorScale" priority="838">
      <colorScale>
        <cfvo type="num" val="0"/>
        <cfvo type="num" val="6.1"/>
        <cfvo type="num" val="10"/>
        <color rgb="FFF8696B"/>
        <color rgb="FFFFEB84"/>
        <color rgb="FF63BE7B"/>
      </colorScale>
    </cfRule>
    <cfRule type="colorScale" priority="839">
      <colorScale>
        <cfvo type="min"/>
        <cfvo type="percentile" val="50"/>
        <cfvo type="max"/>
        <color rgb="FFF8696B"/>
        <color rgb="FFFFEB84"/>
        <color rgb="FF63BE7B"/>
      </colorScale>
    </cfRule>
    <cfRule type="cellIs" dxfId="1" priority="840" operator="greaterThan">
      <formula>6</formula>
    </cfRule>
    <cfRule type="cellIs" dxfId="0" priority="841" operator="greaterThan">
      <formula>5</formula>
    </cfRule>
    <cfRule type="colorScale" priority="842">
      <colorScale>
        <cfvo type="min"/>
        <cfvo type="max"/>
        <color rgb="FFFCFCFF"/>
        <color rgb="FFF8696B"/>
      </colorScale>
    </cfRule>
  </conditionalFormatting>
  <dataValidations xWindow="2163" yWindow="729" count="10">
    <dataValidation allowBlank="1" showInputMessage="1" showErrorMessage="1" prompt="Cree un libro de evaluación para el profesor basada en porcentajes con esta hoja. Escriba el nombre del colegio en la celda B1, los detalles de los alumnos en la tabla de calificación, la puntuación, las notas y la calificación media en las celdas G3 a T5" sqref="C1" xr:uid="{00000000-0002-0000-0100-000000000000}"/>
    <dataValidation allowBlank="1" showInputMessage="1" showErrorMessage="1" prompt="Escriba el nombre del centro educativo en esta celda, el profesor y los detalles del curso en las celdas B6 a B8, y los detalles de las tareas en las celdas E7 y E8. El porcentaje total se calcula automáticamente en la celda E9" sqref="D1:E1" xr:uid="{00000000-0002-0000-0100-000001000000}"/>
    <dataValidation allowBlank="1" showInputMessage="1" showErrorMessage="1" prompt="Escriba el nombre del profesor en esta celda" sqref="C6" xr:uid="{00000000-0002-0000-0100-000002000000}"/>
    <dataValidation allowBlank="1" showInputMessage="1" showErrorMessage="1" prompt="Escriba el nombre de la clase o del proyecto en esta celda" sqref="C7" xr:uid="{00000000-0002-0000-0100-000003000000}"/>
    <dataValidation allowBlank="1" showInputMessage="1" showErrorMessage="1" prompt="Escriba el trimestre, semestre o año en esta celda" sqref="C8" xr:uid="{00000000-0002-0000-0100-000004000000}"/>
    <dataValidation allowBlank="1" showInputMessage="1" showErrorMessage="1" prompt="Escriba la nota alfabética en esta fila, en las celdas H4 a T4" sqref="G4" xr:uid="{00000000-0002-0000-0100-000005000000}"/>
    <dataValidation allowBlank="1" showInputMessage="1" showErrorMessage="1" prompt="Escriba la calificación media en esta fila, en las celdas H5 a T5" sqref="G5" xr:uid="{00000000-0002-0000-0100-000006000000}"/>
    <dataValidation allowBlank="1" showInputMessage="1" showErrorMessage="1" prompt="Escriba los nombres de los alumnos en la columna con este encabezado." sqref="C10" xr:uid="{00000000-0002-0000-0100-000007000000}"/>
    <dataValidation allowBlank="1" showInputMessage="1" showErrorMessage="1" prompt="Personalice los encabezados de las columnas con los nombres de las tareas o pruebas que se especifican en las celdas G7 a W7 y los datos de la columna con este encabezado" sqref="AT10:BA10 AJ10:AQ10" xr:uid="{00000000-0002-0000-0100-000008000000}"/>
    <dataValidation allowBlank="1" showInputMessage="1" showErrorMessage="1" prompt="Escriba los identificadores de los alumnos en la columna con este encabezado" sqref="V10 D10:K10" xr:uid="{00000000-0002-0000-0100-000009000000}"/>
  </dataValidations>
  <printOptions horizontalCentered="1"/>
  <pageMargins left="0.25" right="0.25" top="0.75" bottom="0.75" header="0.3" footer="0.3"/>
  <pageSetup paperSize="9" orientation="landscape" r:id="rId1"/>
  <headerFooter differentFirst="1" alignWithMargins="0">
    <oddFooter>Page &amp;P of &amp;N</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1" ma:contentTypeDescription="Create a new document." ma:contentTypeScope="" ma:versionID="1c2eb7a32e66fb6e4260f3771546a5e2">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04e1f6479c48b08974ba73b5ca973489"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FA499A-7F32-41B4-9793-963785032A8E}">
  <ds:schemaRefs>
    <ds:schemaRef ds:uri="http://schemas.microsoft.com/sharepoint/v3/contenttype/forms"/>
  </ds:schemaRefs>
</ds:datastoreItem>
</file>

<file path=customXml/itemProps2.xml><?xml version="1.0" encoding="utf-8"?>
<ds:datastoreItem xmlns:ds="http://schemas.openxmlformats.org/officeDocument/2006/customXml" ds:itemID="{58C6637C-73AB-4DC0-BA2A-AD08715EC78E}">
  <ds:schemaRefs>
    <ds:schemaRef ds:uri="http://schemas.microsoft.com/office/2006/metadata/properties"/>
    <ds:schemaRef ds:uri="http://www.w3.org/2000/xmlns/"/>
    <ds:schemaRef ds:uri="71af3243-3dd4-4a8d-8c0d-dd76da1f02a5"/>
    <ds:schemaRef ds:uri="http://www.w3.org/2001/XMLSchema-instance"/>
    <ds:schemaRef ds:uri="http://schemas.microsoft.com/office/infopath/2007/PartnerControls"/>
  </ds:schemaRefs>
</ds:datastoreItem>
</file>

<file path=customXml/itemProps3.xml><?xml version="1.0" encoding="utf-8"?>
<ds:datastoreItem xmlns:ds="http://schemas.openxmlformats.org/officeDocument/2006/customXml" ds:itemID="{925850DB-005B-4D51-BDD8-F8850E011793}">
  <ds:schemaRefs>
    <ds:schemaRef ds:uri="http://schemas.microsoft.com/office/2006/metadata/contentType"/>
    <ds:schemaRef ds:uri="http://schemas.microsoft.com/office/2006/metadata/properties/metaAttributes"/>
    <ds:schemaRef ds:uri="http://www.w3.org/2000/xmlns/"/>
    <ds:schemaRef ds:uri="http://www.w3.org/2001/XMLSchema"/>
    <ds:schemaRef ds:uri="71af3243-3dd4-4a8d-8c0d-dd76da1f02a5"/>
    <ds:schemaRef ds:uri="16c05727-aa75-4e4a-9b5f-8a80a116589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TM04099109</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4</vt:i4>
      </vt:variant>
    </vt:vector>
  </HeadingPairs>
  <TitlesOfParts>
    <vt:vector size="6" baseType="lpstr">
      <vt:lpstr>CÓMO USAR ESTE LIBRO</vt:lpstr>
      <vt:lpstr>LIBRO DE CALIFICACIONES</vt:lpstr>
      <vt:lpstr>'LIBRO DE CALIFICACIONES'!Área_de_impresión</vt:lpstr>
      <vt:lpstr>GradeTable</vt:lpstr>
      <vt:lpstr>RowTitleRegion1..T5</vt:lpstr>
      <vt:lpstr>Título1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2018-12-01T19:03:31Z</dcterms:created>
  <dcterms:modified xsi:type="dcterms:W3CDTF">2026-02-11T17:01:11Z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